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90A76B66-65E7-FD4E-A54F-E2EBFDEDDF97}" xr6:coauthVersionLast="47" xr6:coauthVersionMax="47" xr10:uidLastSave="{00000000-0000-0000-0000-000000000000}"/>
  <bookViews>
    <workbookView xWindow="1460" yWindow="460" windowWidth="26840" windowHeight="15180" xr2:uid="{4207F980-1CD7-9242-B825-DFCCF8EE9437}"/>
  </bookViews>
  <sheets>
    <sheet name="Figure 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8" i="3" l="1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</calcChain>
</file>

<file path=xl/sharedStrings.xml><?xml version="1.0" encoding="utf-8"?>
<sst xmlns="http://schemas.openxmlformats.org/spreadsheetml/2006/main" count="892" uniqueCount="120">
  <si>
    <t>IS</t>
  </si>
  <si>
    <t>Subject</t>
  </si>
  <si>
    <t>Cell Type</t>
  </si>
  <si>
    <t>Estimated Proportion</t>
  </si>
  <si>
    <t>BMI</t>
  </si>
  <si>
    <t>Hs_SAT_IR_120</t>
  </si>
  <si>
    <t>Hs_SAT_IR_124</t>
  </si>
  <si>
    <t>Hs_SAT_IR_129</t>
  </si>
  <si>
    <t>Hs_SAT_IR_130</t>
  </si>
  <si>
    <t>Hs_SAT_IR_133</t>
  </si>
  <si>
    <t>Hs_SAT_IR_137</t>
  </si>
  <si>
    <t>Hs_SAT_IR_142</t>
  </si>
  <si>
    <t>Hs_SAT_IR_158</t>
  </si>
  <si>
    <t>Hs_SAT_IR_163</t>
  </si>
  <si>
    <t>Hs_SAT_IR_172</t>
  </si>
  <si>
    <t>Hs_SAT_IR_180</t>
  </si>
  <si>
    <t>Hs_SAT_IR_181</t>
  </si>
  <si>
    <t>Hs_SAT_IR_190</t>
  </si>
  <si>
    <t>Hs_SAT_IR_193</t>
  </si>
  <si>
    <t>Hs_SAT_IR_195</t>
  </si>
  <si>
    <t>Hs_SAT_IR_199</t>
  </si>
  <si>
    <t>Hs_SAT_IR_202</t>
  </si>
  <si>
    <t>Hs_SAT_IR_205</t>
  </si>
  <si>
    <t>Hs_SAT_IR_206</t>
  </si>
  <si>
    <t>Hs_SAT_IR_207</t>
  </si>
  <si>
    <t>Hs_SAT_IR_209</t>
  </si>
  <si>
    <t>Hs_SAT_IR_210</t>
  </si>
  <si>
    <t>Hs_SAT_IR_211</t>
  </si>
  <si>
    <t>Hs_SAT_IR_212</t>
  </si>
  <si>
    <t>Hs_SAT_IR_216</t>
  </si>
  <si>
    <t>Hs_SAT_IR_220</t>
  </si>
  <si>
    <t>Hs_SAT_IR_222</t>
  </si>
  <si>
    <t>Hs_SAT_IS_121</t>
  </si>
  <si>
    <t>Hs_SAT_IS_122</t>
  </si>
  <si>
    <t>Hs_SAT_IS_123</t>
  </si>
  <si>
    <t>Hs_SAT_IS_134</t>
  </si>
  <si>
    <t>Hs_SAT_IS_141</t>
  </si>
  <si>
    <t>Hs_SAT_IS_144</t>
  </si>
  <si>
    <t>Hs_SAT_IS_157</t>
  </si>
  <si>
    <t>Hs_SAT_IS_160</t>
  </si>
  <si>
    <t>Hs_SAT_IS_168</t>
  </si>
  <si>
    <t>Hs_SAT_IS_170</t>
  </si>
  <si>
    <t>Hs_SAT_IS_178</t>
  </si>
  <si>
    <t>Hs_SAT_IS_188</t>
  </si>
  <si>
    <t>Hs_SAT_IS_203</t>
  </si>
  <si>
    <t>Hs_SAT_IS_213</t>
  </si>
  <si>
    <t>Hs_SAT_IS_214</t>
  </si>
  <si>
    <t>Hs_SAT_IS_215</t>
  </si>
  <si>
    <t>hAd1</t>
  </si>
  <si>
    <t>hAd3</t>
  </si>
  <si>
    <t>hAd4</t>
  </si>
  <si>
    <t>hAd5</t>
  </si>
  <si>
    <t>hAd7</t>
  </si>
  <si>
    <t>IR</t>
  </si>
  <si>
    <t>HOMA group</t>
  </si>
  <si>
    <t>Slide</t>
  </si>
  <si>
    <t>TOTAL</t>
  </si>
  <si>
    <t>POSITIVE</t>
  </si>
  <si>
    <t>POS%</t>
  </si>
  <si>
    <t>GRIA4</t>
  </si>
  <si>
    <t>PGAP1</t>
  </si>
  <si>
    <t>EBF2</t>
  </si>
  <si>
    <t>AGMO</t>
  </si>
  <si>
    <t>Depot</t>
  </si>
  <si>
    <t>POSITIVE Nuclei</t>
  </si>
  <si>
    <t>SAT-1</t>
  </si>
  <si>
    <t>SAT-2</t>
  </si>
  <si>
    <t>SAT-3</t>
  </si>
  <si>
    <t>SAT-4</t>
  </si>
  <si>
    <t>SAT-5</t>
  </si>
  <si>
    <t>SAT-6</t>
  </si>
  <si>
    <t>SAT-7</t>
  </si>
  <si>
    <t>SAT-8</t>
  </si>
  <si>
    <t>SAT-9</t>
  </si>
  <si>
    <t>SAT-10</t>
  </si>
  <si>
    <t>VAT-1</t>
  </si>
  <si>
    <t>VAT-2</t>
  </si>
  <si>
    <t>VAT-3</t>
  </si>
  <si>
    <t>VAT-4</t>
  </si>
  <si>
    <t>VAT-5</t>
  </si>
  <si>
    <t>VAT-6</t>
  </si>
  <si>
    <t>VAT-7</t>
  </si>
  <si>
    <t>VAT-8</t>
  </si>
  <si>
    <t>VAT-9</t>
  </si>
  <si>
    <t>SAT</t>
  </si>
  <si>
    <t>VAT</t>
  </si>
  <si>
    <t>Estimated hAd3 Proportion</t>
  </si>
  <si>
    <t>Large BODIPY Objects</t>
  </si>
  <si>
    <t>Median BODIPY Intensity</t>
  </si>
  <si>
    <t>m116</t>
  </si>
  <si>
    <t>m129</t>
  </si>
  <si>
    <t>m164</t>
  </si>
  <si>
    <t>m214</t>
  </si>
  <si>
    <t>m216</t>
  </si>
  <si>
    <t>m252</t>
  </si>
  <si>
    <t>m280</t>
  </si>
  <si>
    <t>m282</t>
  </si>
  <si>
    <t>m270</t>
  </si>
  <si>
    <t>m272</t>
  </si>
  <si>
    <t>m194</t>
  </si>
  <si>
    <t>m227</t>
  </si>
  <si>
    <t>m115</t>
  </si>
  <si>
    <t>m143</t>
  </si>
  <si>
    <t>m162</t>
  </si>
  <si>
    <t>m206</t>
  </si>
  <si>
    <t>m222</t>
  </si>
  <si>
    <t>m235</t>
  </si>
  <si>
    <t>m239</t>
  </si>
  <si>
    <t>m246</t>
  </si>
  <si>
    <t>m266</t>
  </si>
  <si>
    <t>m269</t>
  </si>
  <si>
    <t>m277</t>
  </si>
  <si>
    <t>m278</t>
  </si>
  <si>
    <t>m113</t>
  </si>
  <si>
    <t>m274</t>
  </si>
  <si>
    <t>m141</t>
  </si>
  <si>
    <t>m130</t>
  </si>
  <si>
    <t>Figure 2c: IHC quantification</t>
  </si>
  <si>
    <t>Figure 2d: Floated adipocyte deconvolution</t>
  </si>
  <si>
    <t>Figure 2f: hAd3 ex-vivo lipid traits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</si>
</sst>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1" xfId="0" applyBorder="1"/>
    <xf numFmtId="11" fontId="0" fillId="0" borderId="0" xfId="0" applyNumberFormat="1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CCBC-9AEF-664D-89BA-F721A4621CBE}">
  <dimension ref="A1:CM217"/>
  <sheetViews>
    <sheetView tabSelected="1" workbookViewId="0">
      <selection activeCell="K17" sqref="K17"/>
    </sheetView>
  </sheetViews>
  <sheetFormatPr baseColWidth="10" defaultRowHeight="16" x14ac:dyDescent="0.2"/>
  <cols>
    <col min="1" max="1" width="10.83203125" style="14"/>
    <col min="2" max="2" width="5.1640625" style="14" bestFit="1" customWidth="1"/>
    <col min="3" max="7" width="10.83203125" style="14"/>
    <col min="13" max="13" width="11.6640625" bestFit="1" customWidth="1"/>
  </cols>
  <sheetData>
    <row r="1" spans="1:91" x14ac:dyDescent="0.2">
      <c r="A1" s="13" t="s">
        <v>117</v>
      </c>
      <c r="I1" s="1" t="s">
        <v>118</v>
      </c>
      <c r="O1" s="1" t="s">
        <v>119</v>
      </c>
    </row>
    <row r="2" spans="1:91" x14ac:dyDescent="0.2">
      <c r="A2" s="14" t="s">
        <v>59</v>
      </c>
      <c r="I2" s="3" t="s">
        <v>1</v>
      </c>
      <c r="J2" s="6" t="s">
        <v>2</v>
      </c>
      <c r="K2" s="6" t="s">
        <v>3</v>
      </c>
      <c r="L2" s="6" t="s">
        <v>4</v>
      </c>
      <c r="M2" s="7" t="s">
        <v>54</v>
      </c>
      <c r="O2" s="3" t="s">
        <v>1</v>
      </c>
      <c r="P2" s="6" t="s">
        <v>63</v>
      </c>
      <c r="Q2" s="6" t="s">
        <v>86</v>
      </c>
      <c r="R2" s="6" t="s">
        <v>87</v>
      </c>
      <c r="S2" s="7" t="s">
        <v>88</v>
      </c>
    </row>
    <row r="3" spans="1:91" x14ac:dyDescent="0.2">
      <c r="A3" s="15" t="s">
        <v>1</v>
      </c>
      <c r="B3" s="16" t="s">
        <v>55</v>
      </c>
      <c r="C3" s="16" t="s">
        <v>56</v>
      </c>
      <c r="D3" s="16" t="s">
        <v>57</v>
      </c>
      <c r="E3" s="16" t="s">
        <v>58</v>
      </c>
      <c r="F3" s="16" t="s">
        <v>4</v>
      </c>
      <c r="G3" s="17" t="s">
        <v>63</v>
      </c>
      <c r="I3" s="4" t="s">
        <v>5</v>
      </c>
      <c r="J3" s="8" t="s">
        <v>48</v>
      </c>
      <c r="K3" s="8">
        <v>0.21597912913706999</v>
      </c>
      <c r="L3" s="8">
        <v>29.177246090000001</v>
      </c>
      <c r="M3" s="9" t="s">
        <v>53</v>
      </c>
      <c r="O3" s="4" t="s">
        <v>89</v>
      </c>
      <c r="P3" s="8" t="s">
        <v>84</v>
      </c>
      <c r="Q3" s="8">
        <v>0</v>
      </c>
      <c r="R3" s="8">
        <v>0</v>
      </c>
      <c r="S3" s="9">
        <v>-2.5195245000000002E-2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</row>
    <row r="4" spans="1:91" x14ac:dyDescent="0.2">
      <c r="A4" s="18" t="s">
        <v>65</v>
      </c>
      <c r="B4" s="19">
        <v>1</v>
      </c>
      <c r="C4" s="19">
        <v>109</v>
      </c>
      <c r="D4" s="19">
        <v>19</v>
      </c>
      <c r="E4" s="19">
        <f>100*D4/C4</f>
        <v>17.431192660550458</v>
      </c>
      <c r="F4" s="19">
        <v>23</v>
      </c>
      <c r="G4" s="20" t="s">
        <v>84</v>
      </c>
      <c r="I4" s="4" t="s">
        <v>6</v>
      </c>
      <c r="J4" s="8" t="s">
        <v>48</v>
      </c>
      <c r="K4" s="8">
        <v>0</v>
      </c>
      <c r="L4" s="8">
        <v>36.019157939999999</v>
      </c>
      <c r="M4" s="9" t="s">
        <v>53</v>
      </c>
      <c r="O4" s="4" t="s">
        <v>90</v>
      </c>
      <c r="P4" s="8" t="s">
        <v>84</v>
      </c>
      <c r="Q4" s="8">
        <v>0</v>
      </c>
      <c r="R4" s="8">
        <v>0</v>
      </c>
      <c r="S4" s="9">
        <v>-0.47025660899999999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</row>
    <row r="5" spans="1:91" x14ac:dyDescent="0.2">
      <c r="A5" s="18" t="s">
        <v>65</v>
      </c>
      <c r="B5" s="19">
        <v>2</v>
      </c>
      <c r="C5" s="19">
        <v>133</v>
      </c>
      <c r="D5" s="19">
        <v>26</v>
      </c>
      <c r="E5" s="19">
        <f t="shared" ref="E5:E23" si="0">100*D5/C5</f>
        <v>19.548872180451127</v>
      </c>
      <c r="F5" s="19">
        <v>23</v>
      </c>
      <c r="G5" s="20" t="s">
        <v>84</v>
      </c>
      <c r="I5" s="4" t="s">
        <v>7</v>
      </c>
      <c r="J5" s="8" t="s">
        <v>48</v>
      </c>
      <c r="K5" s="8">
        <v>0</v>
      </c>
      <c r="L5" s="8">
        <v>37.585208289999997</v>
      </c>
      <c r="M5" s="9" t="s">
        <v>53</v>
      </c>
      <c r="O5" s="4" t="s">
        <v>91</v>
      </c>
      <c r="P5" s="8" t="s">
        <v>84</v>
      </c>
      <c r="Q5" s="8">
        <v>0</v>
      </c>
      <c r="R5" s="8">
        <v>1</v>
      </c>
      <c r="S5" s="9">
        <v>0.59811029299999996</v>
      </c>
    </row>
    <row r="6" spans="1:91" x14ac:dyDescent="0.2">
      <c r="A6" s="18" t="s">
        <v>66</v>
      </c>
      <c r="B6" s="19">
        <v>1</v>
      </c>
      <c r="C6" s="19">
        <v>126</v>
      </c>
      <c r="D6" s="19">
        <v>22</v>
      </c>
      <c r="E6" s="19">
        <f t="shared" si="0"/>
        <v>17.460317460317459</v>
      </c>
      <c r="F6" s="19">
        <v>25</v>
      </c>
      <c r="G6" s="20" t="s">
        <v>84</v>
      </c>
      <c r="I6" s="4" t="s">
        <v>8</v>
      </c>
      <c r="J6" s="8" t="s">
        <v>48</v>
      </c>
      <c r="K6" s="8">
        <v>0</v>
      </c>
      <c r="L6" s="8">
        <v>27.856185539999998</v>
      </c>
      <c r="M6" s="9" t="s">
        <v>53</v>
      </c>
      <c r="O6" s="4" t="s">
        <v>92</v>
      </c>
      <c r="P6" s="8" t="s">
        <v>84</v>
      </c>
      <c r="Q6" s="8">
        <v>0</v>
      </c>
      <c r="R6" s="8">
        <v>0.16666666699999999</v>
      </c>
      <c r="S6" s="9">
        <v>0.16732211899999999</v>
      </c>
    </row>
    <row r="7" spans="1:91" x14ac:dyDescent="0.2">
      <c r="A7" s="18" t="s">
        <v>66</v>
      </c>
      <c r="B7" s="19">
        <v>2</v>
      </c>
      <c r="C7" s="19">
        <v>112</v>
      </c>
      <c r="D7" s="19">
        <v>20</v>
      </c>
      <c r="E7" s="19">
        <f t="shared" si="0"/>
        <v>17.857142857142858</v>
      </c>
      <c r="F7" s="19">
        <v>25</v>
      </c>
      <c r="G7" s="20" t="s">
        <v>84</v>
      </c>
      <c r="I7" s="4" t="s">
        <v>9</v>
      </c>
      <c r="J7" s="8" t="s">
        <v>48</v>
      </c>
      <c r="K7" s="8">
        <v>0</v>
      </c>
      <c r="L7" s="8">
        <v>27.4609375</v>
      </c>
      <c r="M7" s="9" t="s">
        <v>53</v>
      </c>
      <c r="O7" s="4" t="s">
        <v>93</v>
      </c>
      <c r="P7" s="8" t="s">
        <v>84</v>
      </c>
      <c r="Q7" s="8">
        <v>0</v>
      </c>
      <c r="R7" s="8">
        <v>-0.33333333300000001</v>
      </c>
      <c r="S7" s="9">
        <v>-0.22830539</v>
      </c>
    </row>
    <row r="8" spans="1:91" x14ac:dyDescent="0.2">
      <c r="A8" s="18" t="s">
        <v>67</v>
      </c>
      <c r="B8" s="19">
        <v>1</v>
      </c>
      <c r="C8" s="19">
        <v>104</v>
      </c>
      <c r="D8" s="19">
        <v>20</v>
      </c>
      <c r="E8" s="19">
        <f t="shared" si="0"/>
        <v>19.23076923076923</v>
      </c>
      <c r="F8" s="19">
        <v>24.4</v>
      </c>
      <c r="G8" s="20" t="s">
        <v>84</v>
      </c>
      <c r="I8" s="4" t="s">
        <v>10</v>
      </c>
      <c r="J8" s="8" t="s">
        <v>48</v>
      </c>
      <c r="K8" s="8">
        <v>0</v>
      </c>
      <c r="L8" s="8">
        <v>29.45112426</v>
      </c>
      <c r="M8" s="9" t="s">
        <v>53</v>
      </c>
      <c r="O8" s="4" t="s">
        <v>94</v>
      </c>
      <c r="P8" s="8" t="s">
        <v>84</v>
      </c>
      <c r="Q8" s="8">
        <v>0</v>
      </c>
      <c r="R8" s="8">
        <v>0.16666666699999999</v>
      </c>
      <c r="S8" s="9">
        <v>-5.0482499999999998E-3</v>
      </c>
    </row>
    <row r="9" spans="1:91" x14ac:dyDescent="0.2">
      <c r="A9" s="18" t="s">
        <v>67</v>
      </c>
      <c r="B9" s="19">
        <v>2</v>
      </c>
      <c r="C9" s="19">
        <v>107</v>
      </c>
      <c r="D9" s="19">
        <v>18</v>
      </c>
      <c r="E9" s="19">
        <f t="shared" si="0"/>
        <v>16.822429906542055</v>
      </c>
      <c r="F9" s="19">
        <v>24.4</v>
      </c>
      <c r="G9" s="20" t="s">
        <v>84</v>
      </c>
      <c r="I9" s="4" t="s">
        <v>11</v>
      </c>
      <c r="J9" s="8" t="s">
        <v>48</v>
      </c>
      <c r="K9" s="8">
        <v>0</v>
      </c>
      <c r="L9" s="8">
        <v>33.120367709999996</v>
      </c>
      <c r="M9" s="9" t="s">
        <v>53</v>
      </c>
      <c r="O9" s="4" t="s">
        <v>95</v>
      </c>
      <c r="P9" s="8" t="s">
        <v>84</v>
      </c>
      <c r="Q9" s="8">
        <v>0</v>
      </c>
      <c r="R9" s="8">
        <v>-0.111111111</v>
      </c>
      <c r="S9" s="9">
        <v>-0.210151543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91" x14ac:dyDescent="0.2">
      <c r="A10" s="18" t="s">
        <v>68</v>
      </c>
      <c r="B10" s="19">
        <v>1</v>
      </c>
      <c r="C10" s="19">
        <v>115</v>
      </c>
      <c r="D10" s="19">
        <v>9</v>
      </c>
      <c r="E10" s="19">
        <f t="shared" si="0"/>
        <v>7.8260869565217392</v>
      </c>
      <c r="F10" s="19">
        <v>22.5</v>
      </c>
      <c r="G10" s="20" t="s">
        <v>84</v>
      </c>
      <c r="I10" s="4" t="s">
        <v>12</v>
      </c>
      <c r="J10" s="8" t="s">
        <v>48</v>
      </c>
      <c r="K10" s="8">
        <v>8.8659636441542497E-2</v>
      </c>
      <c r="L10" s="8">
        <v>34.538926680000003</v>
      </c>
      <c r="M10" s="9" t="s">
        <v>53</v>
      </c>
      <c r="O10" s="4" t="s">
        <v>96</v>
      </c>
      <c r="P10" s="8" t="s">
        <v>84</v>
      </c>
      <c r="Q10" s="8">
        <v>0</v>
      </c>
      <c r="R10" s="8">
        <v>0.5</v>
      </c>
      <c r="S10" s="9">
        <v>0.23035735399999999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91" x14ac:dyDescent="0.2">
      <c r="A11" s="18" t="s">
        <v>68</v>
      </c>
      <c r="B11" s="19">
        <v>2</v>
      </c>
      <c r="C11" s="19">
        <v>108</v>
      </c>
      <c r="D11" s="19">
        <v>12</v>
      </c>
      <c r="E11" s="19">
        <f t="shared" si="0"/>
        <v>11.111111111111111</v>
      </c>
      <c r="F11" s="19">
        <v>22.5</v>
      </c>
      <c r="G11" s="20" t="s">
        <v>84</v>
      </c>
      <c r="I11" s="4" t="s">
        <v>13</v>
      </c>
      <c r="J11" s="8" t="s">
        <v>48</v>
      </c>
      <c r="K11" s="8">
        <v>0</v>
      </c>
      <c r="L11" s="8">
        <v>34.381893859999998</v>
      </c>
      <c r="M11" s="9" t="s">
        <v>53</v>
      </c>
      <c r="O11" s="4" t="s">
        <v>97</v>
      </c>
      <c r="P11" s="8" t="s">
        <v>84</v>
      </c>
      <c r="Q11" s="8">
        <v>0.90873081604194295</v>
      </c>
      <c r="R11" s="8">
        <v>0.5</v>
      </c>
      <c r="S11" s="9">
        <v>0.27482751900000002</v>
      </c>
    </row>
    <row r="12" spans="1:91" x14ac:dyDescent="0.2">
      <c r="A12" s="18" t="s">
        <v>69</v>
      </c>
      <c r="B12" s="19">
        <v>1</v>
      </c>
      <c r="C12" s="19">
        <v>117</v>
      </c>
      <c r="D12" s="19">
        <v>15</v>
      </c>
      <c r="E12" s="19">
        <f t="shared" si="0"/>
        <v>12.820512820512821</v>
      </c>
      <c r="F12" s="19">
        <v>19</v>
      </c>
      <c r="G12" s="20" t="s">
        <v>84</v>
      </c>
      <c r="I12" s="4" t="s">
        <v>14</v>
      </c>
      <c r="J12" s="8" t="s">
        <v>48</v>
      </c>
      <c r="K12" s="8">
        <v>0</v>
      </c>
      <c r="L12" s="8">
        <v>41.984722220000002</v>
      </c>
      <c r="M12" s="9" t="s">
        <v>53</v>
      </c>
      <c r="O12" s="4" t="s">
        <v>98</v>
      </c>
      <c r="P12" s="8" t="s">
        <v>84</v>
      </c>
      <c r="Q12" s="8">
        <v>0.97339168996702297</v>
      </c>
      <c r="R12" s="8">
        <v>0.66666666699999999</v>
      </c>
      <c r="S12" s="9">
        <v>0.67201954200000003</v>
      </c>
    </row>
    <row r="13" spans="1:91" x14ac:dyDescent="0.2">
      <c r="A13" s="18" t="s">
        <v>69</v>
      </c>
      <c r="B13" s="19">
        <v>2</v>
      </c>
      <c r="C13" s="19">
        <v>129</v>
      </c>
      <c r="D13" s="19">
        <v>26</v>
      </c>
      <c r="E13" s="19">
        <f t="shared" si="0"/>
        <v>20.155038759689923</v>
      </c>
      <c r="F13" s="19">
        <v>19</v>
      </c>
      <c r="G13" s="20" t="s">
        <v>84</v>
      </c>
      <c r="I13" s="4" t="s">
        <v>15</v>
      </c>
      <c r="J13" s="8" t="s">
        <v>48</v>
      </c>
      <c r="K13" s="8">
        <v>1.4881811609999201E-3</v>
      </c>
      <c r="L13" s="8">
        <v>28.345511250000001</v>
      </c>
      <c r="M13" s="9" t="s">
        <v>53</v>
      </c>
      <c r="O13" s="4" t="s">
        <v>99</v>
      </c>
      <c r="P13" s="8" t="s">
        <v>84</v>
      </c>
      <c r="Q13" s="8">
        <v>0.99579544377060702</v>
      </c>
      <c r="R13" s="8">
        <v>0.8</v>
      </c>
      <c r="S13" s="9">
        <v>1.120446735</v>
      </c>
    </row>
    <row r="14" spans="1:91" x14ac:dyDescent="0.2">
      <c r="A14" s="18" t="s">
        <v>70</v>
      </c>
      <c r="B14" s="19">
        <v>1</v>
      </c>
      <c r="C14" s="19">
        <v>130</v>
      </c>
      <c r="D14" s="19">
        <v>11</v>
      </c>
      <c r="E14" s="19">
        <f t="shared" si="0"/>
        <v>8.4615384615384617</v>
      </c>
      <c r="F14" s="19">
        <v>43.4</v>
      </c>
      <c r="G14" s="20" t="s">
        <v>84</v>
      </c>
      <c r="I14" s="4" t="s">
        <v>16</v>
      </c>
      <c r="J14" s="8" t="s">
        <v>48</v>
      </c>
      <c r="K14" s="8">
        <v>0</v>
      </c>
      <c r="L14" s="8">
        <v>23.627455619999999</v>
      </c>
      <c r="M14" s="9" t="s">
        <v>53</v>
      </c>
      <c r="O14" s="4" t="s">
        <v>100</v>
      </c>
      <c r="P14" s="8" t="s">
        <v>84</v>
      </c>
      <c r="Q14" s="8">
        <v>1</v>
      </c>
      <c r="R14" s="8">
        <v>1</v>
      </c>
      <c r="S14" s="9">
        <v>0.84339381400000002</v>
      </c>
    </row>
    <row r="15" spans="1:91" x14ac:dyDescent="0.2">
      <c r="A15" s="18" t="s">
        <v>70</v>
      </c>
      <c r="B15" s="19">
        <v>2</v>
      </c>
      <c r="C15" s="19">
        <v>110</v>
      </c>
      <c r="D15" s="19">
        <v>12</v>
      </c>
      <c r="E15" s="19">
        <f t="shared" si="0"/>
        <v>10.909090909090908</v>
      </c>
      <c r="F15" s="19">
        <v>43.4</v>
      </c>
      <c r="G15" s="20" t="s">
        <v>84</v>
      </c>
      <c r="I15" s="4" t="s">
        <v>17</v>
      </c>
      <c r="J15" s="8" t="s">
        <v>48</v>
      </c>
      <c r="K15" s="8">
        <v>0</v>
      </c>
      <c r="L15" s="8">
        <v>29.154816</v>
      </c>
      <c r="M15" s="9" t="s">
        <v>53</v>
      </c>
      <c r="O15" s="4" t="s">
        <v>101</v>
      </c>
      <c r="P15" s="8" t="s">
        <v>85</v>
      </c>
      <c r="Q15" s="8">
        <v>0</v>
      </c>
      <c r="R15" s="8">
        <v>-0.2</v>
      </c>
      <c r="S15" s="9">
        <v>-0.11071774099999999</v>
      </c>
    </row>
    <row r="16" spans="1:91" x14ac:dyDescent="0.2">
      <c r="A16" s="18" t="s">
        <v>71</v>
      </c>
      <c r="B16" s="19">
        <v>2</v>
      </c>
      <c r="C16" s="19">
        <v>115</v>
      </c>
      <c r="D16" s="19">
        <v>9</v>
      </c>
      <c r="E16" s="19">
        <f t="shared" si="0"/>
        <v>7.8260869565217392</v>
      </c>
      <c r="F16" s="19">
        <v>43.6</v>
      </c>
      <c r="G16" s="20" t="s">
        <v>84</v>
      </c>
      <c r="I16" s="4" t="s">
        <v>18</v>
      </c>
      <c r="J16" s="8" t="s">
        <v>48</v>
      </c>
      <c r="K16" s="8">
        <v>0.65087887755541396</v>
      </c>
      <c r="L16" s="8">
        <v>25.237773149999999</v>
      </c>
      <c r="M16" s="9" t="s">
        <v>53</v>
      </c>
      <c r="O16" s="4" t="s">
        <v>89</v>
      </c>
      <c r="P16" s="8" t="s">
        <v>85</v>
      </c>
      <c r="Q16" s="8">
        <v>0</v>
      </c>
      <c r="R16" s="8">
        <v>-0.2</v>
      </c>
      <c r="S16" s="9">
        <v>-9.3251653000000004E-2</v>
      </c>
    </row>
    <row r="17" spans="1:19" x14ac:dyDescent="0.2">
      <c r="A17" s="18" t="s">
        <v>71</v>
      </c>
      <c r="B17" s="19">
        <v>1</v>
      </c>
      <c r="C17" s="19">
        <v>128</v>
      </c>
      <c r="D17" s="19">
        <v>12</v>
      </c>
      <c r="E17" s="19">
        <f t="shared" si="0"/>
        <v>9.375</v>
      </c>
      <c r="F17" s="19">
        <v>43.6</v>
      </c>
      <c r="G17" s="20" t="s">
        <v>84</v>
      </c>
      <c r="I17" s="4" t="s">
        <v>19</v>
      </c>
      <c r="J17" s="8" t="s">
        <v>48</v>
      </c>
      <c r="K17" s="8">
        <v>0</v>
      </c>
      <c r="L17" s="8">
        <v>34.38484278</v>
      </c>
      <c r="M17" s="9" t="s">
        <v>53</v>
      </c>
      <c r="O17" s="4" t="s">
        <v>102</v>
      </c>
      <c r="P17" s="8" t="s">
        <v>85</v>
      </c>
      <c r="Q17" s="8">
        <v>0</v>
      </c>
      <c r="R17" s="8">
        <v>0</v>
      </c>
      <c r="S17" s="9">
        <v>-0.184223419</v>
      </c>
    </row>
    <row r="18" spans="1:19" x14ac:dyDescent="0.2">
      <c r="A18" s="18" t="s">
        <v>72</v>
      </c>
      <c r="B18" s="19">
        <v>1</v>
      </c>
      <c r="C18" s="19">
        <v>129</v>
      </c>
      <c r="D18" s="19">
        <v>8</v>
      </c>
      <c r="E18" s="19">
        <f t="shared" si="0"/>
        <v>6.2015503875968996</v>
      </c>
      <c r="F18" s="19">
        <v>43.3</v>
      </c>
      <c r="G18" s="20" t="s">
        <v>84</v>
      </c>
      <c r="I18" s="4" t="s">
        <v>20</v>
      </c>
      <c r="J18" s="8" t="s">
        <v>48</v>
      </c>
      <c r="K18" s="8">
        <v>0.259809558826677</v>
      </c>
      <c r="L18" s="8">
        <v>26.622485210000001</v>
      </c>
      <c r="M18" s="9" t="s">
        <v>53</v>
      </c>
      <c r="O18" s="4" t="s">
        <v>103</v>
      </c>
      <c r="P18" s="8" t="s">
        <v>85</v>
      </c>
      <c r="Q18" s="8">
        <v>0</v>
      </c>
      <c r="R18" s="8">
        <v>0</v>
      </c>
      <c r="S18" s="9">
        <v>-6.4307570999999994E-2</v>
      </c>
    </row>
    <row r="19" spans="1:19" x14ac:dyDescent="0.2">
      <c r="A19" s="18" t="s">
        <v>72</v>
      </c>
      <c r="B19" s="19">
        <v>2</v>
      </c>
      <c r="C19" s="19">
        <v>117</v>
      </c>
      <c r="D19" s="19">
        <v>7</v>
      </c>
      <c r="E19" s="19">
        <f t="shared" si="0"/>
        <v>5.982905982905983</v>
      </c>
      <c r="F19" s="19">
        <v>43.3</v>
      </c>
      <c r="G19" s="20" t="s">
        <v>84</v>
      </c>
      <c r="I19" s="4" t="s">
        <v>21</v>
      </c>
      <c r="J19" s="8" t="s">
        <v>48</v>
      </c>
      <c r="K19" s="8">
        <v>0.49083828415136599</v>
      </c>
      <c r="L19" s="8">
        <v>29.44174649</v>
      </c>
      <c r="M19" s="9" t="s">
        <v>53</v>
      </c>
      <c r="O19" s="4" t="s">
        <v>91</v>
      </c>
      <c r="P19" s="8" t="s">
        <v>85</v>
      </c>
      <c r="Q19" s="8">
        <v>0</v>
      </c>
      <c r="R19" s="8">
        <v>0</v>
      </c>
      <c r="S19" s="9">
        <v>-0.159049934</v>
      </c>
    </row>
    <row r="20" spans="1:19" x14ac:dyDescent="0.2">
      <c r="A20" s="18" t="s">
        <v>73</v>
      </c>
      <c r="B20" s="19">
        <v>1</v>
      </c>
      <c r="C20" s="19">
        <v>109</v>
      </c>
      <c r="D20" s="19">
        <v>19</v>
      </c>
      <c r="E20" s="19">
        <f t="shared" si="0"/>
        <v>17.431192660550458</v>
      </c>
      <c r="F20" s="19">
        <v>42.3</v>
      </c>
      <c r="G20" s="20" t="s">
        <v>84</v>
      </c>
      <c r="I20" s="4" t="s">
        <v>22</v>
      </c>
      <c r="J20" s="8" t="s">
        <v>48</v>
      </c>
      <c r="K20" s="8">
        <v>0.26272104693838899</v>
      </c>
      <c r="L20" s="8">
        <v>27.023374050000001</v>
      </c>
      <c r="M20" s="9" t="s">
        <v>53</v>
      </c>
      <c r="O20" s="4" t="s">
        <v>104</v>
      </c>
      <c r="P20" s="8" t="s">
        <v>85</v>
      </c>
      <c r="Q20" s="8">
        <v>0</v>
      </c>
      <c r="R20" s="8">
        <v>0</v>
      </c>
      <c r="S20" s="9">
        <v>-5.7449615000000002E-2</v>
      </c>
    </row>
    <row r="21" spans="1:19" x14ac:dyDescent="0.2">
      <c r="A21" s="18" t="s">
        <v>73</v>
      </c>
      <c r="B21" s="19">
        <v>2</v>
      </c>
      <c r="C21" s="19">
        <v>107</v>
      </c>
      <c r="D21" s="19">
        <v>16</v>
      </c>
      <c r="E21" s="19">
        <f t="shared" si="0"/>
        <v>14.953271028037383</v>
      </c>
      <c r="F21" s="19">
        <v>42.3</v>
      </c>
      <c r="G21" s="20" t="s">
        <v>84</v>
      </c>
      <c r="I21" s="4" t="s">
        <v>23</v>
      </c>
      <c r="J21" s="8" t="s">
        <v>48</v>
      </c>
      <c r="K21" s="8">
        <v>0</v>
      </c>
      <c r="L21" s="8">
        <v>37.361390409999998</v>
      </c>
      <c r="M21" s="9" t="s">
        <v>53</v>
      </c>
      <c r="O21" s="4" t="s">
        <v>92</v>
      </c>
      <c r="P21" s="8" t="s">
        <v>85</v>
      </c>
      <c r="Q21" s="8">
        <v>0</v>
      </c>
      <c r="R21" s="8">
        <v>0</v>
      </c>
      <c r="S21" s="9">
        <v>-8.1693056999999999E-2</v>
      </c>
    </row>
    <row r="22" spans="1:19" x14ac:dyDescent="0.2">
      <c r="A22" s="18" t="s">
        <v>74</v>
      </c>
      <c r="B22" s="19">
        <v>1</v>
      </c>
      <c r="C22" s="19">
        <v>117</v>
      </c>
      <c r="D22" s="19">
        <v>14</v>
      </c>
      <c r="E22" s="19">
        <f t="shared" si="0"/>
        <v>11.965811965811966</v>
      </c>
      <c r="F22" s="19">
        <v>41</v>
      </c>
      <c r="G22" s="20" t="s">
        <v>84</v>
      </c>
      <c r="I22" s="4" t="s">
        <v>24</v>
      </c>
      <c r="J22" s="8" t="s">
        <v>48</v>
      </c>
      <c r="K22" s="8">
        <v>0.58682059080556703</v>
      </c>
      <c r="L22" s="8">
        <v>30.502066119999999</v>
      </c>
      <c r="M22" s="9" t="s">
        <v>53</v>
      </c>
      <c r="O22" s="4" t="s">
        <v>93</v>
      </c>
      <c r="P22" s="8" t="s">
        <v>85</v>
      </c>
      <c r="Q22" s="8">
        <v>0</v>
      </c>
      <c r="R22" s="8">
        <v>0</v>
      </c>
      <c r="S22" s="9">
        <v>-5.2110115999999998E-2</v>
      </c>
    </row>
    <row r="23" spans="1:19" x14ac:dyDescent="0.2">
      <c r="A23" s="21" t="s">
        <v>74</v>
      </c>
      <c r="B23" s="22">
        <v>2</v>
      </c>
      <c r="C23" s="22">
        <v>129</v>
      </c>
      <c r="D23" s="22">
        <v>16</v>
      </c>
      <c r="E23" s="22">
        <f t="shared" si="0"/>
        <v>12.403100775193799</v>
      </c>
      <c r="F23" s="22">
        <v>41</v>
      </c>
      <c r="G23" s="23" t="s">
        <v>84</v>
      </c>
      <c r="I23" s="4" t="s">
        <v>25</v>
      </c>
      <c r="J23" s="8" t="s">
        <v>48</v>
      </c>
      <c r="K23" s="8">
        <v>4.0266337255694701E-2</v>
      </c>
      <c r="L23" s="8">
        <v>30.287981859999999</v>
      </c>
      <c r="M23" s="9" t="s">
        <v>53</v>
      </c>
      <c r="O23" s="4" t="s">
        <v>105</v>
      </c>
      <c r="P23" s="8" t="s">
        <v>85</v>
      </c>
      <c r="Q23" s="8">
        <v>0</v>
      </c>
      <c r="R23" s="8">
        <v>0</v>
      </c>
      <c r="S23" s="9">
        <v>0.20168720300000001</v>
      </c>
    </row>
    <row r="24" spans="1:19" x14ac:dyDescent="0.2">
      <c r="I24" s="4" t="s">
        <v>26</v>
      </c>
      <c r="J24" s="8" t="s">
        <v>48</v>
      </c>
      <c r="K24" s="8">
        <v>0.65225203309624002</v>
      </c>
      <c r="L24" s="8">
        <v>33.296386720000001</v>
      </c>
      <c r="M24" s="9" t="s">
        <v>53</v>
      </c>
      <c r="O24" s="4" t="s">
        <v>100</v>
      </c>
      <c r="P24" s="8" t="s">
        <v>85</v>
      </c>
      <c r="Q24" s="8">
        <v>0</v>
      </c>
      <c r="R24" s="8">
        <v>0</v>
      </c>
      <c r="S24" s="9">
        <v>-4.3869664000000003E-2</v>
      </c>
    </row>
    <row r="25" spans="1:19" x14ac:dyDescent="0.2">
      <c r="A25" s="14" t="s">
        <v>60</v>
      </c>
      <c r="I25" s="4" t="s">
        <v>27</v>
      </c>
      <c r="J25" s="8" t="s">
        <v>48</v>
      </c>
      <c r="K25" s="8">
        <v>0</v>
      </c>
      <c r="L25" s="8">
        <v>22.311654529999998</v>
      </c>
      <c r="M25" s="9" t="s">
        <v>53</v>
      </c>
      <c r="O25" s="4" t="s">
        <v>106</v>
      </c>
      <c r="P25" s="8" t="s">
        <v>85</v>
      </c>
      <c r="Q25" s="8">
        <v>0</v>
      </c>
      <c r="R25" s="8">
        <v>0</v>
      </c>
      <c r="S25" s="9">
        <v>-6.1486869999999999E-2</v>
      </c>
    </row>
    <row r="26" spans="1:19" x14ac:dyDescent="0.2">
      <c r="A26" s="15" t="s">
        <v>1</v>
      </c>
      <c r="B26" s="16" t="s">
        <v>55</v>
      </c>
      <c r="C26" s="16" t="s">
        <v>56</v>
      </c>
      <c r="D26" s="16" t="s">
        <v>57</v>
      </c>
      <c r="E26" s="16" t="s">
        <v>58</v>
      </c>
      <c r="F26" s="16" t="s">
        <v>4</v>
      </c>
      <c r="G26" s="17" t="s">
        <v>63</v>
      </c>
      <c r="I26" s="4" t="s">
        <v>28</v>
      </c>
      <c r="J26" s="8" t="s">
        <v>48</v>
      </c>
      <c r="K26" s="8">
        <v>0.35080441406148999</v>
      </c>
      <c r="L26" s="8">
        <v>20.98053633</v>
      </c>
      <c r="M26" s="9" t="s">
        <v>53</v>
      </c>
      <c r="O26" s="4" t="s">
        <v>107</v>
      </c>
      <c r="P26" s="8" t="s">
        <v>85</v>
      </c>
      <c r="Q26" s="8">
        <v>0</v>
      </c>
      <c r="R26" s="8">
        <v>0</v>
      </c>
      <c r="S26" s="9">
        <v>-2.6808818000000002E-2</v>
      </c>
    </row>
    <row r="27" spans="1:19" x14ac:dyDescent="0.2">
      <c r="A27" s="18" t="s">
        <v>65</v>
      </c>
      <c r="B27" s="19">
        <v>1</v>
      </c>
      <c r="C27" s="19">
        <v>263</v>
      </c>
      <c r="D27" s="19">
        <v>30</v>
      </c>
      <c r="E27" s="19">
        <f t="shared" ref="E27:E42" si="1">100*D27/C27</f>
        <v>11.406844106463879</v>
      </c>
      <c r="F27" s="19">
        <v>23</v>
      </c>
      <c r="G27" s="20" t="s">
        <v>84</v>
      </c>
      <c r="I27" s="4" t="s">
        <v>29</v>
      </c>
      <c r="J27" s="8" t="s">
        <v>48</v>
      </c>
      <c r="K27" s="8">
        <v>0.12914325539430399</v>
      </c>
      <c r="L27" s="8">
        <v>28.319091799999999</v>
      </c>
      <c r="M27" s="9" t="s">
        <v>53</v>
      </c>
      <c r="O27" s="4" t="s">
        <v>108</v>
      </c>
      <c r="P27" s="8" t="s">
        <v>85</v>
      </c>
      <c r="Q27" s="8">
        <v>0</v>
      </c>
      <c r="R27" s="8">
        <v>0</v>
      </c>
      <c r="S27" s="9">
        <v>-0.15779098599999999</v>
      </c>
    </row>
    <row r="28" spans="1:19" x14ac:dyDescent="0.2">
      <c r="A28" s="18" t="s">
        <v>66</v>
      </c>
      <c r="B28" s="19">
        <v>1</v>
      </c>
      <c r="C28" s="19">
        <v>219</v>
      </c>
      <c r="D28" s="19">
        <v>19</v>
      </c>
      <c r="E28" s="19">
        <f t="shared" si="1"/>
        <v>8.6757990867579906</v>
      </c>
      <c r="F28" s="19">
        <v>25</v>
      </c>
      <c r="G28" s="20" t="s">
        <v>84</v>
      </c>
      <c r="I28" s="4" t="s">
        <v>30</v>
      </c>
      <c r="J28" s="8" t="s">
        <v>48</v>
      </c>
      <c r="K28" s="8">
        <v>0.21199360199053499</v>
      </c>
      <c r="L28" s="8">
        <v>26.15218522</v>
      </c>
      <c r="M28" s="9" t="s">
        <v>53</v>
      </c>
      <c r="O28" s="4" t="s">
        <v>109</v>
      </c>
      <c r="P28" s="8" t="s">
        <v>85</v>
      </c>
      <c r="Q28" s="8">
        <v>0</v>
      </c>
      <c r="R28" s="8">
        <v>0</v>
      </c>
      <c r="S28" s="9">
        <v>-0.15772278200000001</v>
      </c>
    </row>
    <row r="29" spans="1:19" x14ac:dyDescent="0.2">
      <c r="A29" s="18" t="s">
        <v>67</v>
      </c>
      <c r="B29" s="19">
        <v>1</v>
      </c>
      <c r="C29" s="19">
        <v>213</v>
      </c>
      <c r="D29" s="19">
        <v>21</v>
      </c>
      <c r="E29" s="19">
        <f t="shared" si="1"/>
        <v>9.8591549295774641</v>
      </c>
      <c r="F29" s="19">
        <v>24.4</v>
      </c>
      <c r="G29" s="20" t="s">
        <v>84</v>
      </c>
      <c r="I29" s="4" t="s">
        <v>31</v>
      </c>
      <c r="J29" s="8" t="s">
        <v>48</v>
      </c>
      <c r="K29" s="8">
        <v>0.56151481347788001</v>
      </c>
      <c r="L29" s="8">
        <v>27.95360947</v>
      </c>
      <c r="M29" s="9" t="s">
        <v>53</v>
      </c>
      <c r="O29" s="4" t="s">
        <v>110</v>
      </c>
      <c r="P29" s="8" t="s">
        <v>85</v>
      </c>
      <c r="Q29" s="8">
        <v>0</v>
      </c>
      <c r="R29" s="8">
        <v>0</v>
      </c>
      <c r="S29" s="9">
        <v>-0.18260444200000001</v>
      </c>
    </row>
    <row r="30" spans="1:19" x14ac:dyDescent="0.2">
      <c r="A30" s="18" t="s">
        <v>68</v>
      </c>
      <c r="B30" s="19">
        <v>1</v>
      </c>
      <c r="C30" s="19">
        <v>209</v>
      </c>
      <c r="D30" s="19">
        <v>27</v>
      </c>
      <c r="E30" s="19">
        <f t="shared" si="1"/>
        <v>12.918660287081339</v>
      </c>
      <c r="F30" s="19">
        <v>22.5</v>
      </c>
      <c r="G30" s="20" t="s">
        <v>84</v>
      </c>
      <c r="I30" s="4" t="s">
        <v>32</v>
      </c>
      <c r="J30" s="8" t="s">
        <v>48</v>
      </c>
      <c r="K30" s="8">
        <v>0</v>
      </c>
      <c r="L30" s="8">
        <v>25.054890740000001</v>
      </c>
      <c r="M30" s="9" t="s">
        <v>0</v>
      </c>
      <c r="O30" s="4" t="s">
        <v>98</v>
      </c>
      <c r="P30" s="8" t="s">
        <v>85</v>
      </c>
      <c r="Q30" s="8">
        <v>0</v>
      </c>
      <c r="R30" s="8">
        <v>-0.16666666699999999</v>
      </c>
      <c r="S30" s="9">
        <v>-0.21145810800000001</v>
      </c>
    </row>
    <row r="31" spans="1:19" x14ac:dyDescent="0.2">
      <c r="A31" s="18" t="s">
        <v>69</v>
      </c>
      <c r="B31" s="19">
        <v>1</v>
      </c>
      <c r="C31" s="19">
        <v>206</v>
      </c>
      <c r="D31" s="19">
        <v>28</v>
      </c>
      <c r="E31" s="19">
        <f t="shared" si="1"/>
        <v>13.592233009708737</v>
      </c>
      <c r="F31" s="19">
        <v>19</v>
      </c>
      <c r="G31" s="20" t="s">
        <v>84</v>
      </c>
      <c r="I31" s="4" t="s">
        <v>33</v>
      </c>
      <c r="J31" s="8" t="s">
        <v>48</v>
      </c>
      <c r="K31" s="8">
        <v>0.71278708507787003</v>
      </c>
      <c r="L31" s="8">
        <v>25.33</v>
      </c>
      <c r="M31" s="9" t="s">
        <v>0</v>
      </c>
      <c r="O31" s="4" t="s">
        <v>111</v>
      </c>
      <c r="P31" s="8" t="s">
        <v>85</v>
      </c>
      <c r="Q31" s="8">
        <v>0</v>
      </c>
      <c r="R31" s="8">
        <v>0</v>
      </c>
      <c r="S31" s="9">
        <v>-0.131977491</v>
      </c>
    </row>
    <row r="32" spans="1:19" x14ac:dyDescent="0.2">
      <c r="A32" s="18" t="s">
        <v>75</v>
      </c>
      <c r="B32" s="19">
        <v>1</v>
      </c>
      <c r="C32" s="19">
        <v>199</v>
      </c>
      <c r="D32" s="19">
        <v>30</v>
      </c>
      <c r="E32" s="19">
        <f t="shared" si="1"/>
        <v>15.075376884422111</v>
      </c>
      <c r="F32" s="19">
        <v>25</v>
      </c>
      <c r="G32" s="20" t="s">
        <v>85</v>
      </c>
      <c r="I32" s="4" t="s">
        <v>34</v>
      </c>
      <c r="J32" s="8" t="s">
        <v>48</v>
      </c>
      <c r="K32" s="8">
        <v>4.4942217756221599E-2</v>
      </c>
      <c r="L32" s="8">
        <v>26.657856939999999</v>
      </c>
      <c r="M32" s="9" t="s">
        <v>0</v>
      </c>
      <c r="O32" s="4" t="s">
        <v>112</v>
      </c>
      <c r="P32" s="8" t="s">
        <v>85</v>
      </c>
      <c r="Q32" s="8">
        <v>0</v>
      </c>
      <c r="R32" s="8">
        <v>0</v>
      </c>
      <c r="S32" s="9">
        <v>-2.1290369E-2</v>
      </c>
    </row>
    <row r="33" spans="1:19" x14ac:dyDescent="0.2">
      <c r="A33" s="18" t="s">
        <v>76</v>
      </c>
      <c r="B33" s="19">
        <v>1</v>
      </c>
      <c r="C33" s="19">
        <v>213</v>
      </c>
      <c r="D33" s="19">
        <v>31</v>
      </c>
      <c r="E33" s="19">
        <f t="shared" si="1"/>
        <v>14.553990610328638</v>
      </c>
      <c r="F33" s="19">
        <v>20</v>
      </c>
      <c r="G33" s="20" t="s">
        <v>85</v>
      </c>
      <c r="I33" s="4" t="s">
        <v>35</v>
      </c>
      <c r="J33" s="8" t="s">
        <v>48</v>
      </c>
      <c r="K33" s="8">
        <v>0</v>
      </c>
      <c r="L33" s="8">
        <v>25.056805520000001</v>
      </c>
      <c r="M33" s="9" t="s">
        <v>0</v>
      </c>
      <c r="O33" s="4" t="s">
        <v>96</v>
      </c>
      <c r="P33" s="8" t="s">
        <v>85</v>
      </c>
      <c r="Q33" s="8">
        <v>0</v>
      </c>
      <c r="R33" s="8">
        <v>0</v>
      </c>
      <c r="S33" s="9">
        <v>0.123083158</v>
      </c>
    </row>
    <row r="34" spans="1:19" x14ac:dyDescent="0.2">
      <c r="A34" s="18" t="s">
        <v>77</v>
      </c>
      <c r="B34" s="19">
        <v>1</v>
      </c>
      <c r="C34" s="19">
        <v>255</v>
      </c>
      <c r="D34" s="19">
        <v>34</v>
      </c>
      <c r="E34" s="19">
        <f t="shared" si="1"/>
        <v>13.333333333333334</v>
      </c>
      <c r="F34" s="19">
        <v>19</v>
      </c>
      <c r="G34" s="20" t="s">
        <v>85</v>
      </c>
      <c r="I34" s="4" t="s">
        <v>36</v>
      </c>
      <c r="J34" s="8" t="s">
        <v>48</v>
      </c>
      <c r="K34" s="8">
        <v>0</v>
      </c>
      <c r="L34" s="8">
        <v>31.34661118</v>
      </c>
      <c r="M34" s="9" t="s">
        <v>0</v>
      </c>
      <c r="O34" s="4" t="s">
        <v>113</v>
      </c>
      <c r="P34" s="8" t="s">
        <v>85</v>
      </c>
      <c r="Q34" s="8">
        <v>0.90419951047423297</v>
      </c>
      <c r="R34" s="8">
        <v>0</v>
      </c>
      <c r="S34" s="9">
        <v>-4.0166105000000001E-2</v>
      </c>
    </row>
    <row r="35" spans="1:19" x14ac:dyDescent="0.2">
      <c r="A35" s="18" t="s">
        <v>70</v>
      </c>
      <c r="B35" s="19">
        <v>1</v>
      </c>
      <c r="C35" s="19">
        <v>200</v>
      </c>
      <c r="D35" s="19">
        <v>22</v>
      </c>
      <c r="E35" s="19">
        <f t="shared" si="1"/>
        <v>11</v>
      </c>
      <c r="F35" s="19">
        <v>43.4</v>
      </c>
      <c r="G35" s="20" t="s">
        <v>84</v>
      </c>
      <c r="I35" s="4" t="s">
        <v>37</v>
      </c>
      <c r="J35" s="8" t="s">
        <v>48</v>
      </c>
      <c r="K35" s="8">
        <v>0</v>
      </c>
      <c r="L35" s="8">
        <v>26.568405139999999</v>
      </c>
      <c r="M35" s="9" t="s">
        <v>0</v>
      </c>
      <c r="O35" s="4" t="s">
        <v>114</v>
      </c>
      <c r="P35" s="8" t="s">
        <v>85</v>
      </c>
      <c r="Q35" s="8">
        <v>0.92117532164715898</v>
      </c>
      <c r="R35" s="8">
        <v>0</v>
      </c>
      <c r="S35" s="9">
        <v>-3.5922240000000001E-2</v>
      </c>
    </row>
    <row r="36" spans="1:19" x14ac:dyDescent="0.2">
      <c r="A36" s="18" t="s">
        <v>72</v>
      </c>
      <c r="B36" s="19">
        <v>1</v>
      </c>
      <c r="C36" s="19">
        <v>247</v>
      </c>
      <c r="D36" s="19">
        <v>21</v>
      </c>
      <c r="E36" s="19">
        <f t="shared" si="1"/>
        <v>8.5020242914979764</v>
      </c>
      <c r="F36" s="19">
        <v>43.3</v>
      </c>
      <c r="G36" s="20" t="s">
        <v>84</v>
      </c>
      <c r="I36" s="4" t="s">
        <v>38</v>
      </c>
      <c r="J36" s="8" t="s">
        <v>48</v>
      </c>
      <c r="K36" s="8">
        <v>0</v>
      </c>
      <c r="L36" s="8">
        <v>29.177246090000001</v>
      </c>
      <c r="M36" s="9" t="s">
        <v>0</v>
      </c>
      <c r="O36" s="4" t="s">
        <v>115</v>
      </c>
      <c r="P36" s="8" t="s">
        <v>85</v>
      </c>
      <c r="Q36" s="8">
        <v>0.95354191254739895</v>
      </c>
      <c r="R36" s="8">
        <v>0.2</v>
      </c>
      <c r="S36" s="9">
        <v>1.2571763E-2</v>
      </c>
    </row>
    <row r="37" spans="1:19" x14ac:dyDescent="0.2">
      <c r="A37" s="18" t="s">
        <v>73</v>
      </c>
      <c r="B37" s="19">
        <v>1</v>
      </c>
      <c r="C37" s="19">
        <v>217</v>
      </c>
      <c r="D37" s="19">
        <v>21</v>
      </c>
      <c r="E37" s="19">
        <f t="shared" si="1"/>
        <v>9.67741935483871</v>
      </c>
      <c r="F37" s="19">
        <v>42.3</v>
      </c>
      <c r="G37" s="20" t="s">
        <v>84</v>
      </c>
      <c r="I37" s="4" t="s">
        <v>39</v>
      </c>
      <c r="J37" s="8" t="s">
        <v>48</v>
      </c>
      <c r="K37" s="8">
        <v>4.9776332698383803E-3</v>
      </c>
      <c r="L37" s="8">
        <v>31.82154006</v>
      </c>
      <c r="M37" s="9" t="s">
        <v>0</v>
      </c>
      <c r="O37" s="5" t="s">
        <v>116</v>
      </c>
      <c r="P37" s="11" t="s">
        <v>85</v>
      </c>
      <c r="Q37" s="11">
        <v>0.98206507728214798</v>
      </c>
      <c r="R37" s="11">
        <v>1.3333333329999999</v>
      </c>
      <c r="S37" s="12">
        <v>1.8746081349999999</v>
      </c>
    </row>
    <row r="38" spans="1:19" x14ac:dyDescent="0.2">
      <c r="A38" s="18" t="s">
        <v>74</v>
      </c>
      <c r="B38" s="19">
        <v>1</v>
      </c>
      <c r="C38" s="19">
        <v>219</v>
      </c>
      <c r="D38" s="19">
        <v>19</v>
      </c>
      <c r="E38" s="19">
        <f t="shared" si="1"/>
        <v>8.6757990867579906</v>
      </c>
      <c r="F38" s="19">
        <v>41</v>
      </c>
      <c r="G38" s="20" t="s">
        <v>84</v>
      </c>
      <c r="I38" s="4" t="s">
        <v>40</v>
      </c>
      <c r="J38" s="8" t="s">
        <v>48</v>
      </c>
      <c r="K38" s="8">
        <v>0.59845846519419199</v>
      </c>
      <c r="L38" s="8">
        <v>25.386111110000002</v>
      </c>
      <c r="M38" s="9" t="s">
        <v>0</v>
      </c>
    </row>
    <row r="39" spans="1:19" x14ac:dyDescent="0.2">
      <c r="A39" s="18" t="s">
        <v>78</v>
      </c>
      <c r="B39" s="19">
        <v>1</v>
      </c>
      <c r="C39" s="19">
        <v>239</v>
      </c>
      <c r="D39" s="19">
        <v>26</v>
      </c>
      <c r="E39" s="19">
        <f t="shared" si="1"/>
        <v>10.878661087866108</v>
      </c>
      <c r="F39" s="19">
        <v>43.4</v>
      </c>
      <c r="G39" s="20" t="s">
        <v>85</v>
      </c>
      <c r="I39" s="4" t="s">
        <v>41</v>
      </c>
      <c r="J39" s="8" t="s">
        <v>48</v>
      </c>
      <c r="K39" s="8">
        <v>4.1515671183493296E-3</v>
      </c>
      <c r="L39" s="8">
        <v>27.259183669999999</v>
      </c>
      <c r="M39" s="9" t="s">
        <v>0</v>
      </c>
    </row>
    <row r="40" spans="1:19" x14ac:dyDescent="0.2">
      <c r="A40" s="18" t="s">
        <v>79</v>
      </c>
      <c r="B40" s="19">
        <v>1</v>
      </c>
      <c r="C40" s="19">
        <v>258</v>
      </c>
      <c r="D40" s="19">
        <v>25</v>
      </c>
      <c r="E40" s="19">
        <f t="shared" si="1"/>
        <v>9.6899224806201545</v>
      </c>
      <c r="F40" s="19">
        <v>43.3</v>
      </c>
      <c r="G40" s="20" t="s">
        <v>85</v>
      </c>
      <c r="I40" s="4" t="s">
        <v>42</v>
      </c>
      <c r="J40" s="8" t="s">
        <v>48</v>
      </c>
      <c r="K40" s="8">
        <v>0.37948182006905801</v>
      </c>
      <c r="L40" s="8">
        <v>26.568405139999999</v>
      </c>
      <c r="M40" s="9" t="s">
        <v>0</v>
      </c>
    </row>
    <row r="41" spans="1:19" x14ac:dyDescent="0.2">
      <c r="A41" s="18" t="s">
        <v>80</v>
      </c>
      <c r="B41" s="19">
        <v>1</v>
      </c>
      <c r="C41" s="19">
        <v>226</v>
      </c>
      <c r="D41" s="19">
        <v>19</v>
      </c>
      <c r="E41" s="19">
        <f t="shared" si="1"/>
        <v>8.4070796460176993</v>
      </c>
      <c r="F41" s="19">
        <v>41</v>
      </c>
      <c r="G41" s="20" t="s">
        <v>85</v>
      </c>
      <c r="I41" s="4" t="s">
        <v>43</v>
      </c>
      <c r="J41" s="8" t="s">
        <v>48</v>
      </c>
      <c r="K41" s="8">
        <v>2.26718207449978E-3</v>
      </c>
      <c r="L41" s="8">
        <v>33.653313179999998</v>
      </c>
      <c r="M41" s="9" t="s">
        <v>0</v>
      </c>
    </row>
    <row r="42" spans="1:19" x14ac:dyDescent="0.2">
      <c r="A42" s="21" t="s">
        <v>81</v>
      </c>
      <c r="B42" s="22">
        <v>1</v>
      </c>
      <c r="C42" s="22">
        <v>208</v>
      </c>
      <c r="D42" s="22">
        <v>23</v>
      </c>
      <c r="E42" s="22">
        <f t="shared" si="1"/>
        <v>11.057692307692308</v>
      </c>
      <c r="F42" s="22">
        <v>42.3</v>
      </c>
      <c r="G42" s="23" t="s">
        <v>85</v>
      </c>
      <c r="I42" s="4" t="s">
        <v>44</v>
      </c>
      <c r="J42" s="8" t="s">
        <v>48</v>
      </c>
      <c r="K42" s="8">
        <v>0.64500727427838001</v>
      </c>
      <c r="L42" s="8">
        <v>27.95360947</v>
      </c>
      <c r="M42" s="9" t="s">
        <v>0</v>
      </c>
    </row>
    <row r="43" spans="1:19" x14ac:dyDescent="0.2">
      <c r="I43" s="4" t="s">
        <v>45</v>
      </c>
      <c r="J43" s="8" t="s">
        <v>48</v>
      </c>
      <c r="K43" s="8">
        <v>5.3113697537906998E-2</v>
      </c>
      <c r="L43" s="8">
        <v>21.43184681</v>
      </c>
      <c r="M43" s="9" t="s">
        <v>0</v>
      </c>
    </row>
    <row r="44" spans="1:19" x14ac:dyDescent="0.2">
      <c r="A44" s="14" t="s">
        <v>61</v>
      </c>
      <c r="I44" s="4" t="s">
        <v>46</v>
      </c>
      <c r="J44" s="8" t="s">
        <v>48</v>
      </c>
      <c r="K44" s="8">
        <v>0.39298889561232297</v>
      </c>
      <c r="L44" s="8">
        <v>29.40236835</v>
      </c>
      <c r="M44" s="9" t="s">
        <v>0</v>
      </c>
    </row>
    <row r="45" spans="1:19" x14ac:dyDescent="0.2">
      <c r="A45" s="15" t="s">
        <v>1</v>
      </c>
      <c r="B45" s="16" t="s">
        <v>55</v>
      </c>
      <c r="C45" s="16" t="s">
        <v>56</v>
      </c>
      <c r="D45" s="16" t="s">
        <v>64</v>
      </c>
      <c r="E45" s="16" t="s">
        <v>58</v>
      </c>
      <c r="F45" s="16" t="s">
        <v>4</v>
      </c>
      <c r="G45" s="17" t="s">
        <v>63</v>
      </c>
      <c r="I45" s="4" t="s">
        <v>47</v>
      </c>
      <c r="J45" s="8" t="s">
        <v>48</v>
      </c>
      <c r="K45" s="8">
        <v>0</v>
      </c>
      <c r="L45" s="8">
        <v>22.104541789999999</v>
      </c>
      <c r="M45" s="9" t="s">
        <v>0</v>
      </c>
    </row>
    <row r="46" spans="1:19" x14ac:dyDescent="0.2">
      <c r="A46" s="18" t="s">
        <v>75</v>
      </c>
      <c r="B46" s="24">
        <v>1</v>
      </c>
      <c r="C46" s="19">
        <v>123</v>
      </c>
      <c r="D46" s="19">
        <v>0</v>
      </c>
      <c r="E46" s="19">
        <v>0</v>
      </c>
      <c r="F46" s="19">
        <v>25</v>
      </c>
      <c r="G46" s="20" t="s">
        <v>85</v>
      </c>
      <c r="I46" s="4" t="s">
        <v>5</v>
      </c>
      <c r="J46" s="8" t="s">
        <v>49</v>
      </c>
      <c r="K46" s="8">
        <v>0.123658085718431</v>
      </c>
      <c r="L46" s="8">
        <v>29.177246090000001</v>
      </c>
      <c r="M46" s="9" t="s">
        <v>53</v>
      </c>
    </row>
    <row r="47" spans="1:19" x14ac:dyDescent="0.2">
      <c r="A47" s="18" t="s">
        <v>75</v>
      </c>
      <c r="B47" s="24">
        <v>2</v>
      </c>
      <c r="C47" s="19">
        <v>113</v>
      </c>
      <c r="D47" s="19">
        <v>1</v>
      </c>
      <c r="E47" s="19">
        <v>0.88495575221238942</v>
      </c>
      <c r="F47" s="19">
        <v>25</v>
      </c>
      <c r="G47" s="20" t="s">
        <v>85</v>
      </c>
      <c r="I47" s="4" t="s">
        <v>6</v>
      </c>
      <c r="J47" s="8" t="s">
        <v>49</v>
      </c>
      <c r="K47" s="8">
        <v>6.1168201321215997E-2</v>
      </c>
      <c r="L47" s="8">
        <v>36.019157939999999</v>
      </c>
      <c r="M47" s="9" t="s">
        <v>53</v>
      </c>
    </row>
    <row r="48" spans="1:19" x14ac:dyDescent="0.2">
      <c r="A48" s="18" t="s">
        <v>76</v>
      </c>
      <c r="B48" s="24">
        <v>1</v>
      </c>
      <c r="C48" s="19">
        <v>150</v>
      </c>
      <c r="D48" s="19">
        <v>0</v>
      </c>
      <c r="E48" s="19">
        <v>0</v>
      </c>
      <c r="F48" s="19">
        <v>20</v>
      </c>
      <c r="G48" s="20" t="s">
        <v>85</v>
      </c>
      <c r="I48" s="4" t="s">
        <v>7</v>
      </c>
      <c r="J48" s="8" t="s">
        <v>49</v>
      </c>
      <c r="K48" s="8">
        <v>9.3782380591001996E-2</v>
      </c>
      <c r="L48" s="8">
        <v>37.585208289999997</v>
      </c>
      <c r="M48" s="9" t="s">
        <v>53</v>
      </c>
    </row>
    <row r="49" spans="1:13" x14ac:dyDescent="0.2">
      <c r="A49" s="18" t="s">
        <v>76</v>
      </c>
      <c r="B49" s="24">
        <v>2</v>
      </c>
      <c r="C49" s="19">
        <v>194</v>
      </c>
      <c r="D49" s="19">
        <v>0</v>
      </c>
      <c r="E49" s="19">
        <v>0</v>
      </c>
      <c r="F49" s="19">
        <v>20</v>
      </c>
      <c r="G49" s="20" t="s">
        <v>85</v>
      </c>
      <c r="I49" s="4" t="s">
        <v>8</v>
      </c>
      <c r="J49" s="8" t="s">
        <v>49</v>
      </c>
      <c r="K49" s="8">
        <v>0</v>
      </c>
      <c r="L49" s="8">
        <v>27.856185539999998</v>
      </c>
      <c r="M49" s="9" t="s">
        <v>53</v>
      </c>
    </row>
    <row r="50" spans="1:13" x14ac:dyDescent="0.2">
      <c r="A50" s="18" t="s">
        <v>77</v>
      </c>
      <c r="B50" s="24">
        <v>1</v>
      </c>
      <c r="C50" s="19">
        <v>103</v>
      </c>
      <c r="D50" s="19">
        <v>0</v>
      </c>
      <c r="E50" s="19">
        <v>0</v>
      </c>
      <c r="F50" s="19">
        <v>19</v>
      </c>
      <c r="G50" s="20" t="s">
        <v>85</v>
      </c>
      <c r="I50" s="4" t="s">
        <v>9</v>
      </c>
      <c r="J50" s="8" t="s">
        <v>49</v>
      </c>
      <c r="K50" s="8">
        <v>0.61542500875225203</v>
      </c>
      <c r="L50" s="8">
        <v>27.4609375</v>
      </c>
      <c r="M50" s="9" t="s">
        <v>53</v>
      </c>
    </row>
    <row r="51" spans="1:13" x14ac:dyDescent="0.2">
      <c r="A51" s="18" t="s">
        <v>77</v>
      </c>
      <c r="B51" s="24">
        <v>2</v>
      </c>
      <c r="C51" s="19">
        <v>112</v>
      </c>
      <c r="D51" s="19">
        <v>1</v>
      </c>
      <c r="E51" s="19">
        <v>0.8928571428571429</v>
      </c>
      <c r="F51" s="19">
        <v>19</v>
      </c>
      <c r="G51" s="20" t="s">
        <v>85</v>
      </c>
      <c r="I51" s="4" t="s">
        <v>10</v>
      </c>
      <c r="J51" s="8" t="s">
        <v>49</v>
      </c>
      <c r="K51" s="8">
        <v>0.29023354923269701</v>
      </c>
      <c r="L51" s="8">
        <v>29.45112426</v>
      </c>
      <c r="M51" s="9" t="s">
        <v>53</v>
      </c>
    </row>
    <row r="52" spans="1:13" x14ac:dyDescent="0.2">
      <c r="A52" s="18" t="s">
        <v>78</v>
      </c>
      <c r="B52" s="24">
        <v>1</v>
      </c>
      <c r="C52" s="19">
        <v>65</v>
      </c>
      <c r="D52" s="19">
        <v>1</v>
      </c>
      <c r="E52" s="19">
        <v>1.5384615384615385</v>
      </c>
      <c r="F52" s="19">
        <v>43.4</v>
      </c>
      <c r="G52" s="20" t="s">
        <v>85</v>
      </c>
      <c r="I52" s="4" t="s">
        <v>11</v>
      </c>
      <c r="J52" s="8" t="s">
        <v>49</v>
      </c>
      <c r="K52" s="8">
        <v>0.13181351039998501</v>
      </c>
      <c r="L52" s="8">
        <v>33.120367709999996</v>
      </c>
      <c r="M52" s="9" t="s">
        <v>53</v>
      </c>
    </row>
    <row r="53" spans="1:13" x14ac:dyDescent="0.2">
      <c r="A53" s="18" t="s">
        <v>78</v>
      </c>
      <c r="B53" s="24">
        <v>2</v>
      </c>
      <c r="C53" s="19">
        <v>47</v>
      </c>
      <c r="D53" s="19">
        <v>2</v>
      </c>
      <c r="E53" s="19">
        <v>4.2553191489361701</v>
      </c>
      <c r="F53" s="19">
        <v>43.4</v>
      </c>
      <c r="G53" s="20" t="s">
        <v>85</v>
      </c>
      <c r="I53" s="4" t="s">
        <v>12</v>
      </c>
      <c r="J53" s="8" t="s">
        <v>49</v>
      </c>
      <c r="K53" s="8">
        <v>0.32852874238298602</v>
      </c>
      <c r="L53" s="8">
        <v>34.538926680000003</v>
      </c>
      <c r="M53" s="9" t="s">
        <v>53</v>
      </c>
    </row>
    <row r="54" spans="1:13" x14ac:dyDescent="0.2">
      <c r="A54" s="18" t="s">
        <v>82</v>
      </c>
      <c r="B54" s="24">
        <v>1</v>
      </c>
      <c r="C54" s="19">
        <v>108</v>
      </c>
      <c r="D54" s="19">
        <v>2</v>
      </c>
      <c r="E54" s="19">
        <v>1.8518518518518519</v>
      </c>
      <c r="F54" s="19">
        <v>43.6</v>
      </c>
      <c r="G54" s="20" t="s">
        <v>85</v>
      </c>
      <c r="I54" s="4" t="s">
        <v>13</v>
      </c>
      <c r="J54" s="8" t="s">
        <v>49</v>
      </c>
      <c r="K54" s="8">
        <v>0.52118237970715597</v>
      </c>
      <c r="L54" s="8">
        <v>34.381893859999998</v>
      </c>
      <c r="M54" s="9" t="s">
        <v>53</v>
      </c>
    </row>
    <row r="55" spans="1:13" x14ac:dyDescent="0.2">
      <c r="A55" s="18" t="s">
        <v>82</v>
      </c>
      <c r="B55" s="24">
        <v>2</v>
      </c>
      <c r="C55" s="19">
        <v>136</v>
      </c>
      <c r="D55" s="19">
        <v>0</v>
      </c>
      <c r="E55" s="19">
        <v>0</v>
      </c>
      <c r="F55" s="19">
        <v>43.6</v>
      </c>
      <c r="G55" s="20" t="s">
        <v>85</v>
      </c>
      <c r="I55" s="4" t="s">
        <v>14</v>
      </c>
      <c r="J55" s="8" t="s">
        <v>49</v>
      </c>
      <c r="K55" s="8">
        <v>0.24732733033725099</v>
      </c>
      <c r="L55" s="8">
        <v>41.984722220000002</v>
      </c>
      <c r="M55" s="9" t="s">
        <v>53</v>
      </c>
    </row>
    <row r="56" spans="1:13" x14ac:dyDescent="0.2">
      <c r="A56" s="18" t="s">
        <v>83</v>
      </c>
      <c r="B56" s="24">
        <v>1</v>
      </c>
      <c r="C56" s="19">
        <v>109</v>
      </c>
      <c r="D56" s="19">
        <v>5</v>
      </c>
      <c r="E56" s="19">
        <v>4.5871559633027523</v>
      </c>
      <c r="F56" s="19">
        <v>43.3</v>
      </c>
      <c r="G56" s="20" t="s">
        <v>85</v>
      </c>
      <c r="I56" s="4" t="s">
        <v>15</v>
      </c>
      <c r="J56" s="8" t="s">
        <v>49</v>
      </c>
      <c r="K56" s="8">
        <v>0.58412498473037</v>
      </c>
      <c r="L56" s="8">
        <v>28.345511250000001</v>
      </c>
      <c r="M56" s="9" t="s">
        <v>53</v>
      </c>
    </row>
    <row r="57" spans="1:13" x14ac:dyDescent="0.2">
      <c r="A57" s="18" t="s">
        <v>83</v>
      </c>
      <c r="B57" s="24">
        <v>2</v>
      </c>
      <c r="C57" s="19">
        <v>128</v>
      </c>
      <c r="D57" s="19">
        <v>3</v>
      </c>
      <c r="E57" s="19">
        <v>2.34375</v>
      </c>
      <c r="F57" s="19">
        <v>43.3</v>
      </c>
      <c r="G57" s="20" t="s">
        <v>85</v>
      </c>
      <c r="I57" s="4" t="s">
        <v>16</v>
      </c>
      <c r="J57" s="8" t="s">
        <v>49</v>
      </c>
      <c r="K57" s="8">
        <v>0.26947392728411301</v>
      </c>
      <c r="L57" s="8">
        <v>23.627455619999999</v>
      </c>
      <c r="M57" s="9" t="s">
        <v>53</v>
      </c>
    </row>
    <row r="58" spans="1:13" x14ac:dyDescent="0.2">
      <c r="A58" s="18" t="s">
        <v>81</v>
      </c>
      <c r="B58" s="24">
        <v>1</v>
      </c>
      <c r="C58" s="19">
        <v>113</v>
      </c>
      <c r="D58" s="19">
        <v>4</v>
      </c>
      <c r="E58" s="19">
        <v>3.5398230088495577</v>
      </c>
      <c r="F58" s="19">
        <v>42.2</v>
      </c>
      <c r="G58" s="20" t="s">
        <v>85</v>
      </c>
      <c r="I58" s="4" t="s">
        <v>17</v>
      </c>
      <c r="J58" s="8" t="s">
        <v>49</v>
      </c>
      <c r="K58" s="8">
        <v>0.89261237350957001</v>
      </c>
      <c r="L58" s="8">
        <v>29.154816</v>
      </c>
      <c r="M58" s="9" t="s">
        <v>53</v>
      </c>
    </row>
    <row r="59" spans="1:13" x14ac:dyDescent="0.2">
      <c r="A59" s="21" t="s">
        <v>81</v>
      </c>
      <c r="B59" s="25">
        <v>2</v>
      </c>
      <c r="C59" s="22">
        <v>106</v>
      </c>
      <c r="D59" s="22">
        <v>2</v>
      </c>
      <c r="E59" s="22">
        <v>1.8867924528301887</v>
      </c>
      <c r="F59" s="22">
        <v>42.2</v>
      </c>
      <c r="G59" s="23" t="s">
        <v>85</v>
      </c>
      <c r="I59" s="4" t="s">
        <v>18</v>
      </c>
      <c r="J59" s="8" t="s">
        <v>49</v>
      </c>
      <c r="K59" s="8">
        <v>4.7287414591125499E-3</v>
      </c>
      <c r="L59" s="8">
        <v>25.237773149999999</v>
      </c>
      <c r="M59" s="9" t="s">
        <v>53</v>
      </c>
    </row>
    <row r="60" spans="1:13" x14ac:dyDescent="0.2">
      <c r="I60" s="4" t="s">
        <v>19</v>
      </c>
      <c r="J60" s="8" t="s">
        <v>49</v>
      </c>
      <c r="K60" s="8">
        <v>0.52013763065028895</v>
      </c>
      <c r="L60" s="8">
        <v>34.38484278</v>
      </c>
      <c r="M60" s="9" t="s">
        <v>53</v>
      </c>
    </row>
    <row r="61" spans="1:13" x14ac:dyDescent="0.2">
      <c r="A61" s="14" t="s">
        <v>62</v>
      </c>
      <c r="I61" s="4" t="s">
        <v>20</v>
      </c>
      <c r="J61" s="8" t="s">
        <v>49</v>
      </c>
      <c r="K61" s="8">
        <v>4.2302809970611302E-3</v>
      </c>
      <c r="L61" s="8">
        <v>26.622485210000001</v>
      </c>
      <c r="M61" s="9" t="s">
        <v>53</v>
      </c>
    </row>
    <row r="62" spans="1:13" x14ac:dyDescent="0.2">
      <c r="A62" s="15" t="s">
        <v>1</v>
      </c>
      <c r="B62" s="16" t="s">
        <v>55</v>
      </c>
      <c r="C62" s="16" t="s">
        <v>56</v>
      </c>
      <c r="D62" s="16" t="s">
        <v>64</v>
      </c>
      <c r="E62" s="16" t="s">
        <v>58</v>
      </c>
      <c r="F62" s="16" t="s">
        <v>4</v>
      </c>
      <c r="G62" s="17" t="s">
        <v>63</v>
      </c>
      <c r="I62" s="4" t="s">
        <v>21</v>
      </c>
      <c r="J62" s="8" t="s">
        <v>49</v>
      </c>
      <c r="K62" s="8">
        <v>0</v>
      </c>
      <c r="L62" s="8">
        <v>29.44174649</v>
      </c>
      <c r="M62" s="9" t="s">
        <v>53</v>
      </c>
    </row>
    <row r="63" spans="1:13" x14ac:dyDescent="0.2">
      <c r="A63" s="18" t="s">
        <v>65</v>
      </c>
      <c r="B63" s="19">
        <v>1</v>
      </c>
      <c r="C63" s="19">
        <v>154</v>
      </c>
      <c r="D63" s="19">
        <v>4</v>
      </c>
      <c r="E63" s="19">
        <f t="shared" ref="E63:E76" si="2">(D63*100)/C63</f>
        <v>2.5974025974025974</v>
      </c>
      <c r="F63" s="19">
        <v>23</v>
      </c>
      <c r="G63" s="20" t="s">
        <v>84</v>
      </c>
      <c r="I63" s="4" t="s">
        <v>22</v>
      </c>
      <c r="J63" s="8" t="s">
        <v>49</v>
      </c>
      <c r="K63" s="8">
        <v>4.5218853921363301E-2</v>
      </c>
      <c r="L63" s="8">
        <v>27.023374050000001</v>
      </c>
      <c r="M63" s="9" t="s">
        <v>53</v>
      </c>
    </row>
    <row r="64" spans="1:13" x14ac:dyDescent="0.2">
      <c r="A64" s="18" t="s">
        <v>65</v>
      </c>
      <c r="B64" s="19">
        <v>2</v>
      </c>
      <c r="C64" s="19">
        <v>100</v>
      </c>
      <c r="D64" s="19">
        <v>4</v>
      </c>
      <c r="E64" s="19">
        <f t="shared" si="2"/>
        <v>4</v>
      </c>
      <c r="F64" s="19">
        <v>23</v>
      </c>
      <c r="G64" s="20" t="s">
        <v>84</v>
      </c>
      <c r="I64" s="4" t="s">
        <v>23</v>
      </c>
      <c r="J64" s="8" t="s">
        <v>49</v>
      </c>
      <c r="K64" s="8">
        <v>2.47172800389571E-3</v>
      </c>
      <c r="L64" s="8">
        <v>37.361390409999998</v>
      </c>
      <c r="M64" s="9" t="s">
        <v>53</v>
      </c>
    </row>
    <row r="65" spans="1:13" x14ac:dyDescent="0.2">
      <c r="A65" s="18" t="s">
        <v>66</v>
      </c>
      <c r="B65" s="19">
        <v>1</v>
      </c>
      <c r="C65" s="19">
        <v>135</v>
      </c>
      <c r="D65" s="19">
        <v>2</v>
      </c>
      <c r="E65" s="19">
        <f t="shared" si="2"/>
        <v>1.4814814814814814</v>
      </c>
      <c r="F65" s="19">
        <v>25</v>
      </c>
      <c r="G65" s="20" t="s">
        <v>84</v>
      </c>
      <c r="I65" s="4" t="s">
        <v>24</v>
      </c>
      <c r="J65" s="8" t="s">
        <v>49</v>
      </c>
      <c r="K65" s="8">
        <v>4.99772783577706E-3</v>
      </c>
      <c r="L65" s="8">
        <v>30.502066119999999</v>
      </c>
      <c r="M65" s="9" t="s">
        <v>53</v>
      </c>
    </row>
    <row r="66" spans="1:13" x14ac:dyDescent="0.2">
      <c r="A66" s="18" t="s">
        <v>66</v>
      </c>
      <c r="B66" s="19">
        <v>2</v>
      </c>
      <c r="C66" s="19">
        <v>127</v>
      </c>
      <c r="D66" s="19">
        <v>3</v>
      </c>
      <c r="E66" s="19">
        <f t="shared" si="2"/>
        <v>2.3622047244094486</v>
      </c>
      <c r="F66" s="19">
        <v>25</v>
      </c>
      <c r="G66" s="20" t="s">
        <v>84</v>
      </c>
      <c r="I66" s="4" t="s">
        <v>25</v>
      </c>
      <c r="J66" s="8" t="s">
        <v>49</v>
      </c>
      <c r="K66" s="8">
        <v>0</v>
      </c>
      <c r="L66" s="8">
        <v>30.287981859999999</v>
      </c>
      <c r="M66" s="9" t="s">
        <v>53</v>
      </c>
    </row>
    <row r="67" spans="1:13" x14ac:dyDescent="0.2">
      <c r="A67" s="18" t="s">
        <v>67</v>
      </c>
      <c r="B67" s="19">
        <v>1</v>
      </c>
      <c r="C67" s="19">
        <v>101</v>
      </c>
      <c r="D67" s="19">
        <v>6</v>
      </c>
      <c r="E67" s="19">
        <f t="shared" si="2"/>
        <v>5.9405940594059405</v>
      </c>
      <c r="F67" s="19">
        <v>24.4</v>
      </c>
      <c r="G67" s="20" t="s">
        <v>84</v>
      </c>
      <c r="I67" s="4" t="s">
        <v>26</v>
      </c>
      <c r="J67" s="8" t="s">
        <v>49</v>
      </c>
      <c r="K67" s="8">
        <v>4.67093050958735E-3</v>
      </c>
      <c r="L67" s="8">
        <v>33.296386720000001</v>
      </c>
      <c r="M67" s="9" t="s">
        <v>53</v>
      </c>
    </row>
    <row r="68" spans="1:13" x14ac:dyDescent="0.2">
      <c r="A68" s="18" t="s">
        <v>67</v>
      </c>
      <c r="B68" s="19">
        <v>2</v>
      </c>
      <c r="C68" s="19">
        <v>96</v>
      </c>
      <c r="D68" s="19">
        <v>2</v>
      </c>
      <c r="E68" s="19">
        <f t="shared" si="2"/>
        <v>2.0833333333333335</v>
      </c>
      <c r="F68" s="19">
        <v>24.4</v>
      </c>
      <c r="G68" s="20" t="s">
        <v>84</v>
      </c>
      <c r="I68" s="4" t="s">
        <v>27</v>
      </c>
      <c r="J68" s="8" t="s">
        <v>49</v>
      </c>
      <c r="K68" s="8">
        <v>0.91311664444412399</v>
      </c>
      <c r="L68" s="8">
        <v>22.311654529999998</v>
      </c>
      <c r="M68" s="9" t="s">
        <v>53</v>
      </c>
    </row>
    <row r="69" spans="1:13" x14ac:dyDescent="0.2">
      <c r="A69" s="18" t="s">
        <v>68</v>
      </c>
      <c r="B69" s="19">
        <v>1</v>
      </c>
      <c r="C69" s="19">
        <v>102</v>
      </c>
      <c r="D69" s="19">
        <v>1</v>
      </c>
      <c r="E69" s="19">
        <f t="shared" si="2"/>
        <v>0.98039215686274506</v>
      </c>
      <c r="F69" s="19">
        <v>22.5</v>
      </c>
      <c r="G69" s="20" t="s">
        <v>84</v>
      </c>
      <c r="I69" s="4" t="s">
        <v>28</v>
      </c>
      <c r="J69" s="8" t="s">
        <v>49</v>
      </c>
      <c r="K69" s="8">
        <v>4.5102111376260001E-3</v>
      </c>
      <c r="L69" s="8">
        <v>20.98053633</v>
      </c>
      <c r="M69" s="9" t="s">
        <v>53</v>
      </c>
    </row>
    <row r="70" spans="1:13" x14ac:dyDescent="0.2">
      <c r="A70" s="18" t="s">
        <v>68</v>
      </c>
      <c r="B70" s="19">
        <v>2</v>
      </c>
      <c r="C70" s="19">
        <v>135</v>
      </c>
      <c r="D70" s="19">
        <v>0</v>
      </c>
      <c r="E70" s="19">
        <f t="shared" si="2"/>
        <v>0</v>
      </c>
      <c r="F70" s="19">
        <v>22.5</v>
      </c>
      <c r="G70" s="20" t="s">
        <v>84</v>
      </c>
      <c r="I70" s="4" t="s">
        <v>29</v>
      </c>
      <c r="J70" s="8" t="s">
        <v>49</v>
      </c>
      <c r="K70" s="8">
        <v>0.35809512321522702</v>
      </c>
      <c r="L70" s="8">
        <v>28.319091799999999</v>
      </c>
      <c r="M70" s="9" t="s">
        <v>53</v>
      </c>
    </row>
    <row r="71" spans="1:13" x14ac:dyDescent="0.2">
      <c r="A71" s="18" t="s">
        <v>70</v>
      </c>
      <c r="B71" s="19">
        <v>1</v>
      </c>
      <c r="C71" s="19">
        <v>156</v>
      </c>
      <c r="D71" s="19">
        <v>2</v>
      </c>
      <c r="E71" s="19">
        <f t="shared" si="2"/>
        <v>1.2820512820512822</v>
      </c>
      <c r="F71" s="19">
        <v>43.4</v>
      </c>
      <c r="G71" s="20" t="s">
        <v>84</v>
      </c>
      <c r="I71" s="4" t="s">
        <v>30</v>
      </c>
      <c r="J71" s="8" t="s">
        <v>49</v>
      </c>
      <c r="K71" s="8">
        <v>0.395166668066043</v>
      </c>
      <c r="L71" s="8">
        <v>26.15218522</v>
      </c>
      <c r="M71" s="9" t="s">
        <v>53</v>
      </c>
    </row>
    <row r="72" spans="1:13" x14ac:dyDescent="0.2">
      <c r="A72" s="18" t="s">
        <v>70</v>
      </c>
      <c r="B72" s="19">
        <v>2</v>
      </c>
      <c r="C72" s="19">
        <v>115</v>
      </c>
      <c r="D72" s="19">
        <v>2</v>
      </c>
      <c r="E72" s="19">
        <f t="shared" si="2"/>
        <v>1.7391304347826086</v>
      </c>
      <c r="F72" s="19">
        <v>43.4</v>
      </c>
      <c r="G72" s="20" t="s">
        <v>84</v>
      </c>
      <c r="I72" s="4" t="s">
        <v>31</v>
      </c>
      <c r="J72" s="8" t="s">
        <v>49</v>
      </c>
      <c r="K72" s="8">
        <v>1.8086383989418401E-3</v>
      </c>
      <c r="L72" s="8">
        <v>27.95360947</v>
      </c>
      <c r="M72" s="9" t="s">
        <v>53</v>
      </c>
    </row>
    <row r="73" spans="1:13" x14ac:dyDescent="0.2">
      <c r="A73" s="18" t="s">
        <v>71</v>
      </c>
      <c r="B73" s="19">
        <v>2</v>
      </c>
      <c r="C73" s="19">
        <v>110</v>
      </c>
      <c r="D73" s="19">
        <v>2</v>
      </c>
      <c r="E73" s="19">
        <f t="shared" si="2"/>
        <v>1.8181818181818181</v>
      </c>
      <c r="F73" s="19">
        <v>43.6</v>
      </c>
      <c r="G73" s="20" t="s">
        <v>84</v>
      </c>
      <c r="I73" s="4" t="s">
        <v>32</v>
      </c>
      <c r="J73" s="8" t="s">
        <v>49</v>
      </c>
      <c r="K73" s="8">
        <v>4.4876829273150102E-3</v>
      </c>
      <c r="L73" s="8">
        <v>25.054890740000001</v>
      </c>
      <c r="M73" s="9" t="s">
        <v>0</v>
      </c>
    </row>
    <row r="74" spans="1:13" x14ac:dyDescent="0.2">
      <c r="A74" s="18" t="s">
        <v>71</v>
      </c>
      <c r="B74" s="19">
        <v>1</v>
      </c>
      <c r="C74" s="19">
        <v>125</v>
      </c>
      <c r="D74" s="19">
        <v>1</v>
      </c>
      <c r="E74" s="19">
        <f t="shared" si="2"/>
        <v>0.8</v>
      </c>
      <c r="F74" s="19">
        <v>43.3</v>
      </c>
      <c r="G74" s="20" t="s">
        <v>84</v>
      </c>
      <c r="I74" s="4" t="s">
        <v>33</v>
      </c>
      <c r="J74" s="8" t="s">
        <v>49</v>
      </c>
      <c r="K74" s="8">
        <v>3.8835829411776198E-3</v>
      </c>
      <c r="L74" s="8">
        <v>25.33</v>
      </c>
      <c r="M74" s="9" t="s">
        <v>0</v>
      </c>
    </row>
    <row r="75" spans="1:13" x14ac:dyDescent="0.2">
      <c r="A75" s="18" t="s">
        <v>72</v>
      </c>
      <c r="B75" s="19">
        <v>1</v>
      </c>
      <c r="C75" s="19">
        <v>106</v>
      </c>
      <c r="D75" s="19">
        <v>2</v>
      </c>
      <c r="E75" s="19">
        <f t="shared" si="2"/>
        <v>1.8867924528301887</v>
      </c>
      <c r="F75" s="19">
        <v>43.3</v>
      </c>
      <c r="G75" s="20" t="s">
        <v>84</v>
      </c>
      <c r="I75" s="4" t="s">
        <v>34</v>
      </c>
      <c r="J75" s="8" t="s">
        <v>49</v>
      </c>
      <c r="K75" s="8">
        <v>3.7595851534263599E-3</v>
      </c>
      <c r="L75" s="8">
        <v>26.657856939999999</v>
      </c>
      <c r="M75" s="9" t="s">
        <v>0</v>
      </c>
    </row>
    <row r="76" spans="1:13" x14ac:dyDescent="0.2">
      <c r="A76" s="18" t="s">
        <v>72</v>
      </c>
      <c r="B76" s="19">
        <v>2</v>
      </c>
      <c r="C76" s="19">
        <v>148</v>
      </c>
      <c r="D76" s="19">
        <v>4</v>
      </c>
      <c r="E76" s="19">
        <f t="shared" si="2"/>
        <v>2.7027027027027026</v>
      </c>
      <c r="F76" s="19">
        <v>43.3</v>
      </c>
      <c r="G76" s="20" t="s">
        <v>84</v>
      </c>
      <c r="I76" s="4" t="s">
        <v>35</v>
      </c>
      <c r="J76" s="8" t="s">
        <v>49</v>
      </c>
      <c r="K76" s="8">
        <v>0.49248653475156901</v>
      </c>
      <c r="L76" s="8">
        <v>25.056805520000001</v>
      </c>
      <c r="M76" s="9" t="s">
        <v>0</v>
      </c>
    </row>
    <row r="77" spans="1:13" x14ac:dyDescent="0.2">
      <c r="A77" s="18" t="s">
        <v>73</v>
      </c>
      <c r="B77" s="19">
        <v>1</v>
      </c>
      <c r="C77" s="19">
        <v>96</v>
      </c>
      <c r="D77" s="19">
        <v>1</v>
      </c>
      <c r="E77" s="19">
        <f>(D77*100)/C77</f>
        <v>1.0416666666666667</v>
      </c>
      <c r="F77" s="19">
        <v>42.3</v>
      </c>
      <c r="G77" s="20" t="s">
        <v>84</v>
      </c>
      <c r="I77" s="4" t="s">
        <v>36</v>
      </c>
      <c r="J77" s="8" t="s">
        <v>49</v>
      </c>
      <c r="K77" s="8">
        <v>4.2580914145078398E-3</v>
      </c>
      <c r="L77" s="8">
        <v>31.34661118</v>
      </c>
      <c r="M77" s="9" t="s">
        <v>0</v>
      </c>
    </row>
    <row r="78" spans="1:13" x14ac:dyDescent="0.2">
      <c r="A78" s="21" t="s">
        <v>73</v>
      </c>
      <c r="B78" s="22">
        <v>2</v>
      </c>
      <c r="C78" s="22">
        <v>117</v>
      </c>
      <c r="D78" s="22">
        <v>2</v>
      </c>
      <c r="E78" s="22">
        <f>(D78*100)/C78</f>
        <v>1.7094017094017093</v>
      </c>
      <c r="F78" s="22">
        <v>42.3</v>
      </c>
      <c r="G78" s="23" t="s">
        <v>84</v>
      </c>
      <c r="I78" s="4" t="s">
        <v>37</v>
      </c>
      <c r="J78" s="8" t="s">
        <v>49</v>
      </c>
      <c r="K78" s="8">
        <v>0.41332247121791998</v>
      </c>
      <c r="L78" s="8">
        <v>26.568405139999999</v>
      </c>
      <c r="M78" s="9" t="s">
        <v>0</v>
      </c>
    </row>
    <row r="79" spans="1:13" x14ac:dyDescent="0.2">
      <c r="I79" s="4" t="s">
        <v>38</v>
      </c>
      <c r="J79" s="8" t="s">
        <v>49</v>
      </c>
      <c r="K79" s="8">
        <v>0.179499155729855</v>
      </c>
      <c r="L79" s="8">
        <v>29.177246090000001</v>
      </c>
      <c r="M79" s="9" t="s">
        <v>0</v>
      </c>
    </row>
    <row r="80" spans="1:13" x14ac:dyDescent="0.2">
      <c r="I80" s="4" t="s">
        <v>39</v>
      </c>
      <c r="J80" s="8" t="s">
        <v>49</v>
      </c>
      <c r="K80" s="8">
        <v>0.28447578531184498</v>
      </c>
      <c r="L80" s="8">
        <v>31.82154006</v>
      </c>
      <c r="M80" s="9" t="s">
        <v>0</v>
      </c>
    </row>
    <row r="81" spans="9:13" x14ac:dyDescent="0.2">
      <c r="I81" s="4" t="s">
        <v>40</v>
      </c>
      <c r="J81" s="8" t="s">
        <v>49</v>
      </c>
      <c r="K81" s="10">
        <v>6.4602654908162005E-5</v>
      </c>
      <c r="L81" s="8">
        <v>25.386111110000002</v>
      </c>
      <c r="M81" s="9" t="s">
        <v>0</v>
      </c>
    </row>
    <row r="82" spans="9:13" x14ac:dyDescent="0.2">
      <c r="I82" s="4" t="s">
        <v>41</v>
      </c>
      <c r="J82" s="8" t="s">
        <v>49</v>
      </c>
      <c r="K82" s="8">
        <v>0.38219434871962898</v>
      </c>
      <c r="L82" s="8">
        <v>27.259183669999999</v>
      </c>
      <c r="M82" s="9" t="s">
        <v>0</v>
      </c>
    </row>
    <row r="83" spans="9:13" x14ac:dyDescent="0.2">
      <c r="I83" s="4" t="s">
        <v>42</v>
      </c>
      <c r="J83" s="8" t="s">
        <v>49</v>
      </c>
      <c r="K83" s="8">
        <v>0.28618646826836103</v>
      </c>
      <c r="L83" s="8">
        <v>26.568405139999999</v>
      </c>
      <c r="M83" s="9" t="s">
        <v>0</v>
      </c>
    </row>
    <row r="84" spans="9:13" x14ac:dyDescent="0.2">
      <c r="I84" s="4" t="s">
        <v>43</v>
      </c>
      <c r="J84" s="8" t="s">
        <v>49</v>
      </c>
      <c r="K84" s="8">
        <v>0.28160753629139201</v>
      </c>
      <c r="L84" s="8">
        <v>33.653313179999998</v>
      </c>
      <c r="M84" s="9" t="s">
        <v>0</v>
      </c>
    </row>
    <row r="85" spans="9:13" x14ac:dyDescent="0.2">
      <c r="I85" s="4" t="s">
        <v>44</v>
      </c>
      <c r="J85" s="8" t="s">
        <v>49</v>
      </c>
      <c r="K85" s="8">
        <v>4.8630632794346004E-3</v>
      </c>
      <c r="L85" s="8">
        <v>27.95360947</v>
      </c>
      <c r="M85" s="9" t="s">
        <v>0</v>
      </c>
    </row>
    <row r="86" spans="9:13" x14ac:dyDescent="0.2">
      <c r="I86" s="4" t="s">
        <v>45</v>
      </c>
      <c r="J86" s="8" t="s">
        <v>49</v>
      </c>
      <c r="K86" s="8">
        <v>0</v>
      </c>
      <c r="L86" s="8">
        <v>21.43184681</v>
      </c>
      <c r="M86" s="9" t="s">
        <v>0</v>
      </c>
    </row>
    <row r="87" spans="9:13" x14ac:dyDescent="0.2">
      <c r="I87" s="4" t="s">
        <v>46</v>
      </c>
      <c r="J87" s="8" t="s">
        <v>49</v>
      </c>
      <c r="K87" s="8">
        <v>1.5514854110130399E-2</v>
      </c>
      <c r="L87" s="8">
        <v>29.40236835</v>
      </c>
      <c r="M87" s="9" t="s">
        <v>0</v>
      </c>
    </row>
    <row r="88" spans="9:13" x14ac:dyDescent="0.2">
      <c r="I88" s="4" t="s">
        <v>47</v>
      </c>
      <c r="J88" s="8" t="s">
        <v>49</v>
      </c>
      <c r="K88" s="8">
        <v>0.48157114288219</v>
      </c>
      <c r="L88" s="8">
        <v>22.104541789999999</v>
      </c>
      <c r="M88" s="9" t="s">
        <v>0</v>
      </c>
    </row>
    <row r="89" spans="9:13" x14ac:dyDescent="0.2">
      <c r="I89" s="4" t="s">
        <v>5</v>
      </c>
      <c r="J89" s="8" t="s">
        <v>50</v>
      </c>
      <c r="K89" s="8">
        <v>0.19011237358106201</v>
      </c>
      <c r="L89" s="8">
        <v>29.177246090000001</v>
      </c>
      <c r="M89" s="9" t="s">
        <v>53</v>
      </c>
    </row>
    <row r="90" spans="9:13" x14ac:dyDescent="0.2">
      <c r="I90" s="4" t="s">
        <v>6</v>
      </c>
      <c r="J90" s="8" t="s">
        <v>50</v>
      </c>
      <c r="K90" s="8">
        <v>0</v>
      </c>
      <c r="L90" s="8">
        <v>36.019157939999999</v>
      </c>
      <c r="M90" s="9" t="s">
        <v>53</v>
      </c>
    </row>
    <row r="91" spans="9:13" x14ac:dyDescent="0.2">
      <c r="I91" s="4" t="s">
        <v>7</v>
      </c>
      <c r="J91" s="8" t="s">
        <v>50</v>
      </c>
      <c r="K91" s="8">
        <v>0</v>
      </c>
      <c r="L91" s="8">
        <v>37.585208289999997</v>
      </c>
      <c r="M91" s="9" t="s">
        <v>53</v>
      </c>
    </row>
    <row r="92" spans="9:13" x14ac:dyDescent="0.2">
      <c r="I92" s="4" t="s">
        <v>8</v>
      </c>
      <c r="J92" s="8" t="s">
        <v>50</v>
      </c>
      <c r="K92" s="8">
        <v>0.455248192355586</v>
      </c>
      <c r="L92" s="8">
        <v>27.856185539999998</v>
      </c>
      <c r="M92" s="9" t="s">
        <v>53</v>
      </c>
    </row>
    <row r="93" spans="9:13" x14ac:dyDescent="0.2">
      <c r="I93" s="4" t="s">
        <v>9</v>
      </c>
      <c r="J93" s="8" t="s">
        <v>50</v>
      </c>
      <c r="K93" s="8">
        <v>0</v>
      </c>
      <c r="L93" s="8">
        <v>27.4609375</v>
      </c>
      <c r="M93" s="9" t="s">
        <v>53</v>
      </c>
    </row>
    <row r="94" spans="9:13" x14ac:dyDescent="0.2">
      <c r="I94" s="4" t="s">
        <v>10</v>
      </c>
      <c r="J94" s="8" t="s">
        <v>50</v>
      </c>
      <c r="K94" s="8">
        <v>0</v>
      </c>
      <c r="L94" s="8">
        <v>29.45112426</v>
      </c>
      <c r="M94" s="9" t="s">
        <v>53</v>
      </c>
    </row>
    <row r="95" spans="9:13" x14ac:dyDescent="0.2">
      <c r="I95" s="4" t="s">
        <v>11</v>
      </c>
      <c r="J95" s="8" t="s">
        <v>50</v>
      </c>
      <c r="K95" s="8">
        <v>0</v>
      </c>
      <c r="L95" s="8">
        <v>33.120367709999996</v>
      </c>
      <c r="M95" s="9" t="s">
        <v>53</v>
      </c>
    </row>
    <row r="96" spans="9:13" x14ac:dyDescent="0.2">
      <c r="I96" s="4" t="s">
        <v>12</v>
      </c>
      <c r="J96" s="8" t="s">
        <v>50</v>
      </c>
      <c r="K96" s="8">
        <v>0</v>
      </c>
      <c r="L96" s="8">
        <v>34.538926680000003</v>
      </c>
      <c r="M96" s="9" t="s">
        <v>53</v>
      </c>
    </row>
    <row r="97" spans="9:13" x14ac:dyDescent="0.2">
      <c r="I97" s="4" t="s">
        <v>13</v>
      </c>
      <c r="J97" s="8" t="s">
        <v>50</v>
      </c>
      <c r="K97" s="8">
        <v>0</v>
      </c>
      <c r="L97" s="8">
        <v>34.381893859999998</v>
      </c>
      <c r="M97" s="9" t="s">
        <v>53</v>
      </c>
    </row>
    <row r="98" spans="9:13" x14ac:dyDescent="0.2">
      <c r="I98" s="4" t="s">
        <v>14</v>
      </c>
      <c r="J98" s="8" t="s">
        <v>50</v>
      </c>
      <c r="K98" s="8">
        <v>0</v>
      </c>
      <c r="L98" s="8">
        <v>41.984722220000002</v>
      </c>
      <c r="M98" s="9" t="s">
        <v>53</v>
      </c>
    </row>
    <row r="99" spans="9:13" x14ac:dyDescent="0.2">
      <c r="I99" s="4" t="s">
        <v>15</v>
      </c>
      <c r="J99" s="8" t="s">
        <v>50</v>
      </c>
      <c r="K99" s="8">
        <v>0</v>
      </c>
      <c r="L99" s="8">
        <v>28.345511250000001</v>
      </c>
      <c r="M99" s="9" t="s">
        <v>53</v>
      </c>
    </row>
    <row r="100" spans="9:13" x14ac:dyDescent="0.2">
      <c r="I100" s="4" t="s">
        <v>16</v>
      </c>
      <c r="J100" s="8" t="s">
        <v>50</v>
      </c>
      <c r="K100" s="8">
        <v>0.27289685652393803</v>
      </c>
      <c r="L100" s="8">
        <v>23.627455619999999</v>
      </c>
      <c r="M100" s="9" t="s">
        <v>53</v>
      </c>
    </row>
    <row r="101" spans="9:13" x14ac:dyDescent="0.2">
      <c r="I101" s="4" t="s">
        <v>17</v>
      </c>
      <c r="J101" s="8" t="s">
        <v>50</v>
      </c>
      <c r="K101" s="8">
        <v>0</v>
      </c>
      <c r="L101" s="8">
        <v>29.154816</v>
      </c>
      <c r="M101" s="9" t="s">
        <v>53</v>
      </c>
    </row>
    <row r="102" spans="9:13" x14ac:dyDescent="0.2">
      <c r="I102" s="4" t="s">
        <v>18</v>
      </c>
      <c r="J102" s="8" t="s">
        <v>50</v>
      </c>
      <c r="K102" s="8">
        <v>0</v>
      </c>
      <c r="L102" s="8">
        <v>25.237773149999999</v>
      </c>
      <c r="M102" s="9" t="s">
        <v>53</v>
      </c>
    </row>
    <row r="103" spans="9:13" x14ac:dyDescent="0.2">
      <c r="I103" s="4" t="s">
        <v>19</v>
      </c>
      <c r="J103" s="8" t="s">
        <v>50</v>
      </c>
      <c r="K103" s="8">
        <v>0</v>
      </c>
      <c r="L103" s="8">
        <v>34.38484278</v>
      </c>
      <c r="M103" s="9" t="s">
        <v>53</v>
      </c>
    </row>
    <row r="104" spans="9:13" x14ac:dyDescent="0.2">
      <c r="I104" s="4" t="s">
        <v>20</v>
      </c>
      <c r="J104" s="8" t="s">
        <v>50</v>
      </c>
      <c r="K104" s="8">
        <v>0</v>
      </c>
      <c r="L104" s="8">
        <v>26.622485210000001</v>
      </c>
      <c r="M104" s="9" t="s">
        <v>53</v>
      </c>
    </row>
    <row r="105" spans="9:13" x14ac:dyDescent="0.2">
      <c r="I105" s="4" t="s">
        <v>21</v>
      </c>
      <c r="J105" s="8" t="s">
        <v>50</v>
      </c>
      <c r="K105" s="8">
        <v>0</v>
      </c>
      <c r="L105" s="8">
        <v>29.44174649</v>
      </c>
      <c r="M105" s="9" t="s">
        <v>53</v>
      </c>
    </row>
    <row r="106" spans="9:13" x14ac:dyDescent="0.2">
      <c r="I106" s="4" t="s">
        <v>22</v>
      </c>
      <c r="J106" s="8" t="s">
        <v>50</v>
      </c>
      <c r="K106" s="8">
        <v>0</v>
      </c>
      <c r="L106" s="8">
        <v>27.023374050000001</v>
      </c>
      <c r="M106" s="9" t="s">
        <v>53</v>
      </c>
    </row>
    <row r="107" spans="9:13" x14ac:dyDescent="0.2">
      <c r="I107" s="4" t="s">
        <v>23</v>
      </c>
      <c r="J107" s="8" t="s">
        <v>50</v>
      </c>
      <c r="K107" s="8">
        <v>0</v>
      </c>
      <c r="L107" s="8">
        <v>37.361390409999998</v>
      </c>
      <c r="M107" s="9" t="s">
        <v>53</v>
      </c>
    </row>
    <row r="108" spans="9:13" x14ac:dyDescent="0.2">
      <c r="I108" s="4" t="s">
        <v>24</v>
      </c>
      <c r="J108" s="8" t="s">
        <v>50</v>
      </c>
      <c r="K108" s="8">
        <v>0</v>
      </c>
      <c r="L108" s="8">
        <v>30.502066119999999</v>
      </c>
      <c r="M108" s="9" t="s">
        <v>53</v>
      </c>
    </row>
    <row r="109" spans="9:13" x14ac:dyDescent="0.2">
      <c r="I109" s="4" t="s">
        <v>25</v>
      </c>
      <c r="J109" s="8" t="s">
        <v>50</v>
      </c>
      <c r="K109" s="8">
        <v>0.51358167308201497</v>
      </c>
      <c r="L109" s="8">
        <v>30.287981859999999</v>
      </c>
      <c r="M109" s="9" t="s">
        <v>53</v>
      </c>
    </row>
    <row r="110" spans="9:13" x14ac:dyDescent="0.2">
      <c r="I110" s="4" t="s">
        <v>26</v>
      </c>
      <c r="J110" s="8" t="s">
        <v>50</v>
      </c>
      <c r="K110" s="8">
        <v>0</v>
      </c>
      <c r="L110" s="8">
        <v>33.296386720000001</v>
      </c>
      <c r="M110" s="9" t="s">
        <v>53</v>
      </c>
    </row>
    <row r="111" spans="9:13" x14ac:dyDescent="0.2">
      <c r="I111" s="4" t="s">
        <v>27</v>
      </c>
      <c r="J111" s="8" t="s">
        <v>50</v>
      </c>
      <c r="K111" s="8">
        <v>0</v>
      </c>
      <c r="L111" s="8">
        <v>22.311654529999998</v>
      </c>
      <c r="M111" s="9" t="s">
        <v>53</v>
      </c>
    </row>
    <row r="112" spans="9:13" x14ac:dyDescent="0.2">
      <c r="I112" s="4" t="s">
        <v>28</v>
      </c>
      <c r="J112" s="8" t="s">
        <v>50</v>
      </c>
      <c r="K112" s="8">
        <v>0.102831729784838</v>
      </c>
      <c r="L112" s="8">
        <v>20.98053633</v>
      </c>
      <c r="M112" s="9" t="s">
        <v>53</v>
      </c>
    </row>
    <row r="113" spans="9:13" x14ac:dyDescent="0.2">
      <c r="I113" s="4" t="s">
        <v>29</v>
      </c>
      <c r="J113" s="8" t="s">
        <v>50</v>
      </c>
      <c r="K113" s="8">
        <v>0</v>
      </c>
      <c r="L113" s="8">
        <v>28.319091799999999</v>
      </c>
      <c r="M113" s="9" t="s">
        <v>53</v>
      </c>
    </row>
    <row r="114" spans="9:13" x14ac:dyDescent="0.2">
      <c r="I114" s="4" t="s">
        <v>30</v>
      </c>
      <c r="J114" s="8" t="s">
        <v>50</v>
      </c>
      <c r="K114" s="8">
        <v>0</v>
      </c>
      <c r="L114" s="8">
        <v>26.15218522</v>
      </c>
      <c r="M114" s="9" t="s">
        <v>53</v>
      </c>
    </row>
    <row r="115" spans="9:13" x14ac:dyDescent="0.2">
      <c r="I115" s="4" t="s">
        <v>31</v>
      </c>
      <c r="J115" s="8" t="s">
        <v>50</v>
      </c>
      <c r="K115" s="8">
        <v>0</v>
      </c>
      <c r="L115" s="8">
        <v>27.95360947</v>
      </c>
      <c r="M115" s="9" t="s">
        <v>53</v>
      </c>
    </row>
    <row r="116" spans="9:13" x14ac:dyDescent="0.2">
      <c r="I116" s="4" t="s">
        <v>32</v>
      </c>
      <c r="J116" s="8" t="s">
        <v>50</v>
      </c>
      <c r="K116" s="8">
        <v>0</v>
      </c>
      <c r="L116" s="8">
        <v>25.054890740000001</v>
      </c>
      <c r="M116" s="9" t="s">
        <v>0</v>
      </c>
    </row>
    <row r="117" spans="9:13" x14ac:dyDescent="0.2">
      <c r="I117" s="4" t="s">
        <v>33</v>
      </c>
      <c r="J117" s="8" t="s">
        <v>50</v>
      </c>
      <c r="K117" s="8">
        <v>0</v>
      </c>
      <c r="L117" s="8">
        <v>25.33</v>
      </c>
      <c r="M117" s="9" t="s">
        <v>0</v>
      </c>
    </row>
    <row r="118" spans="9:13" x14ac:dyDescent="0.2">
      <c r="I118" s="4" t="s">
        <v>34</v>
      </c>
      <c r="J118" s="8" t="s">
        <v>50</v>
      </c>
      <c r="K118" s="8">
        <v>0</v>
      </c>
      <c r="L118" s="8">
        <v>26.657856939999999</v>
      </c>
      <c r="M118" s="9" t="s">
        <v>0</v>
      </c>
    </row>
    <row r="119" spans="9:13" x14ac:dyDescent="0.2">
      <c r="I119" s="4" t="s">
        <v>35</v>
      </c>
      <c r="J119" s="8" t="s">
        <v>50</v>
      </c>
      <c r="K119" s="8">
        <v>0</v>
      </c>
      <c r="L119" s="8">
        <v>25.056805520000001</v>
      </c>
      <c r="M119" s="9" t="s">
        <v>0</v>
      </c>
    </row>
    <row r="120" spans="9:13" x14ac:dyDescent="0.2">
      <c r="I120" s="4" t="s">
        <v>36</v>
      </c>
      <c r="J120" s="8" t="s">
        <v>50</v>
      </c>
      <c r="K120" s="8">
        <v>0</v>
      </c>
      <c r="L120" s="8">
        <v>31.34661118</v>
      </c>
      <c r="M120" s="9" t="s">
        <v>0</v>
      </c>
    </row>
    <row r="121" spans="9:13" x14ac:dyDescent="0.2">
      <c r="I121" s="4" t="s">
        <v>37</v>
      </c>
      <c r="J121" s="8" t="s">
        <v>50</v>
      </c>
      <c r="K121" s="8">
        <v>0</v>
      </c>
      <c r="L121" s="8">
        <v>26.568405139999999</v>
      </c>
      <c r="M121" s="9" t="s">
        <v>0</v>
      </c>
    </row>
    <row r="122" spans="9:13" x14ac:dyDescent="0.2">
      <c r="I122" s="4" t="s">
        <v>38</v>
      </c>
      <c r="J122" s="8" t="s">
        <v>50</v>
      </c>
      <c r="K122" s="8">
        <v>0</v>
      </c>
      <c r="L122" s="8">
        <v>29.177246090000001</v>
      </c>
      <c r="M122" s="9" t="s">
        <v>0</v>
      </c>
    </row>
    <row r="123" spans="9:13" x14ac:dyDescent="0.2">
      <c r="I123" s="4" t="s">
        <v>39</v>
      </c>
      <c r="J123" s="8" t="s">
        <v>50</v>
      </c>
      <c r="K123" s="8">
        <v>0</v>
      </c>
      <c r="L123" s="8">
        <v>31.82154006</v>
      </c>
      <c r="M123" s="9" t="s">
        <v>0</v>
      </c>
    </row>
    <row r="124" spans="9:13" x14ac:dyDescent="0.2">
      <c r="I124" s="4" t="s">
        <v>40</v>
      </c>
      <c r="J124" s="8" t="s">
        <v>50</v>
      </c>
      <c r="K124" s="8">
        <v>3.6549807337096001E-2</v>
      </c>
      <c r="L124" s="8">
        <v>25.386111110000002</v>
      </c>
      <c r="M124" s="9" t="s">
        <v>0</v>
      </c>
    </row>
    <row r="125" spans="9:13" x14ac:dyDescent="0.2">
      <c r="I125" s="4" t="s">
        <v>41</v>
      </c>
      <c r="J125" s="8" t="s">
        <v>50</v>
      </c>
      <c r="K125" s="8">
        <v>0</v>
      </c>
      <c r="L125" s="8">
        <v>27.259183669999999</v>
      </c>
      <c r="M125" s="9" t="s">
        <v>0</v>
      </c>
    </row>
    <row r="126" spans="9:13" x14ac:dyDescent="0.2">
      <c r="I126" s="4" t="s">
        <v>42</v>
      </c>
      <c r="J126" s="8" t="s">
        <v>50</v>
      </c>
      <c r="K126" s="8">
        <v>0</v>
      </c>
      <c r="L126" s="8">
        <v>26.568405139999999</v>
      </c>
      <c r="M126" s="9" t="s">
        <v>0</v>
      </c>
    </row>
    <row r="127" spans="9:13" x14ac:dyDescent="0.2">
      <c r="I127" s="4" t="s">
        <v>43</v>
      </c>
      <c r="J127" s="8" t="s">
        <v>50</v>
      </c>
      <c r="K127" s="8">
        <v>0</v>
      </c>
      <c r="L127" s="8">
        <v>33.653313179999998</v>
      </c>
      <c r="M127" s="9" t="s">
        <v>0</v>
      </c>
    </row>
    <row r="128" spans="9:13" x14ac:dyDescent="0.2">
      <c r="I128" s="4" t="s">
        <v>44</v>
      </c>
      <c r="J128" s="8" t="s">
        <v>50</v>
      </c>
      <c r="K128" s="8">
        <v>0</v>
      </c>
      <c r="L128" s="8">
        <v>27.95360947</v>
      </c>
      <c r="M128" s="9" t="s">
        <v>0</v>
      </c>
    </row>
    <row r="129" spans="9:13" x14ac:dyDescent="0.2">
      <c r="I129" s="4" t="s">
        <v>45</v>
      </c>
      <c r="J129" s="8" t="s">
        <v>50</v>
      </c>
      <c r="K129" s="8">
        <v>0.345195702045963</v>
      </c>
      <c r="L129" s="8">
        <v>21.43184681</v>
      </c>
      <c r="M129" s="9" t="s">
        <v>0</v>
      </c>
    </row>
    <row r="130" spans="9:13" x14ac:dyDescent="0.2">
      <c r="I130" s="4" t="s">
        <v>46</v>
      </c>
      <c r="J130" s="8" t="s">
        <v>50</v>
      </c>
      <c r="K130" s="8">
        <v>0</v>
      </c>
      <c r="L130" s="8">
        <v>29.40236835</v>
      </c>
      <c r="M130" s="9" t="s">
        <v>0</v>
      </c>
    </row>
    <row r="131" spans="9:13" x14ac:dyDescent="0.2">
      <c r="I131" s="4" t="s">
        <v>47</v>
      </c>
      <c r="J131" s="8" t="s">
        <v>50</v>
      </c>
      <c r="K131" s="8">
        <v>0</v>
      </c>
      <c r="L131" s="8">
        <v>22.104541789999999</v>
      </c>
      <c r="M131" s="9" t="s">
        <v>0</v>
      </c>
    </row>
    <row r="132" spans="9:13" x14ac:dyDescent="0.2">
      <c r="I132" s="4" t="s">
        <v>5</v>
      </c>
      <c r="J132" s="8" t="s">
        <v>51</v>
      </c>
      <c r="K132" s="8">
        <v>0.45580431469455701</v>
      </c>
      <c r="L132" s="8">
        <v>29.177246090000001</v>
      </c>
      <c r="M132" s="9" t="s">
        <v>53</v>
      </c>
    </row>
    <row r="133" spans="9:13" x14ac:dyDescent="0.2">
      <c r="I133" s="4" t="s">
        <v>6</v>
      </c>
      <c r="J133" s="8" t="s">
        <v>51</v>
      </c>
      <c r="K133" s="8">
        <v>0.93883179867878397</v>
      </c>
      <c r="L133" s="8">
        <v>36.019157939999999</v>
      </c>
      <c r="M133" s="9" t="s">
        <v>53</v>
      </c>
    </row>
    <row r="134" spans="9:13" x14ac:dyDescent="0.2">
      <c r="I134" s="4" t="s">
        <v>7</v>
      </c>
      <c r="J134" s="8" t="s">
        <v>51</v>
      </c>
      <c r="K134" s="8">
        <v>0.88012742051363502</v>
      </c>
      <c r="L134" s="8">
        <v>37.585208289999997</v>
      </c>
      <c r="M134" s="9" t="s">
        <v>53</v>
      </c>
    </row>
    <row r="135" spans="9:13" x14ac:dyDescent="0.2">
      <c r="I135" s="4" t="s">
        <v>8</v>
      </c>
      <c r="J135" s="8" t="s">
        <v>51</v>
      </c>
      <c r="K135" s="8">
        <v>0.544751807644414</v>
      </c>
      <c r="L135" s="8">
        <v>27.856185539999998</v>
      </c>
      <c r="M135" s="9" t="s">
        <v>53</v>
      </c>
    </row>
    <row r="136" spans="9:13" x14ac:dyDescent="0.2">
      <c r="I136" s="4" t="s">
        <v>9</v>
      </c>
      <c r="J136" s="8" t="s">
        <v>51</v>
      </c>
      <c r="K136" s="8">
        <v>0.38457499124774802</v>
      </c>
      <c r="L136" s="8">
        <v>27.4609375</v>
      </c>
      <c r="M136" s="9" t="s">
        <v>53</v>
      </c>
    </row>
    <row r="137" spans="9:13" x14ac:dyDescent="0.2">
      <c r="I137" s="4" t="s">
        <v>10</v>
      </c>
      <c r="J137" s="8" t="s">
        <v>51</v>
      </c>
      <c r="K137" s="8">
        <v>0.700596608453813</v>
      </c>
      <c r="L137" s="8">
        <v>29.45112426</v>
      </c>
      <c r="M137" s="9" t="s">
        <v>53</v>
      </c>
    </row>
    <row r="138" spans="9:13" x14ac:dyDescent="0.2">
      <c r="I138" s="4" t="s">
        <v>11</v>
      </c>
      <c r="J138" s="8" t="s">
        <v>51</v>
      </c>
      <c r="K138" s="8">
        <v>0.79889652014681101</v>
      </c>
      <c r="L138" s="8">
        <v>33.120367709999996</v>
      </c>
      <c r="M138" s="9" t="s">
        <v>53</v>
      </c>
    </row>
    <row r="139" spans="9:13" x14ac:dyDescent="0.2">
      <c r="I139" s="4" t="s">
        <v>12</v>
      </c>
      <c r="J139" s="8" t="s">
        <v>51</v>
      </c>
      <c r="K139" s="8">
        <v>0.58281162117547103</v>
      </c>
      <c r="L139" s="8">
        <v>34.538926680000003</v>
      </c>
      <c r="M139" s="9" t="s">
        <v>53</v>
      </c>
    </row>
    <row r="140" spans="9:13" x14ac:dyDescent="0.2">
      <c r="I140" s="4" t="s">
        <v>13</v>
      </c>
      <c r="J140" s="8" t="s">
        <v>51</v>
      </c>
      <c r="K140" s="8">
        <v>0.47881762029284403</v>
      </c>
      <c r="L140" s="8">
        <v>34.381893859999998</v>
      </c>
      <c r="M140" s="9" t="s">
        <v>53</v>
      </c>
    </row>
    <row r="141" spans="9:13" x14ac:dyDescent="0.2">
      <c r="I141" s="4" t="s">
        <v>14</v>
      </c>
      <c r="J141" s="8" t="s">
        <v>51</v>
      </c>
      <c r="K141" s="8">
        <v>0.75267266966274904</v>
      </c>
      <c r="L141" s="8">
        <v>41.984722220000002</v>
      </c>
      <c r="M141" s="9" t="s">
        <v>53</v>
      </c>
    </row>
    <row r="142" spans="9:13" x14ac:dyDescent="0.2">
      <c r="I142" s="4" t="s">
        <v>15</v>
      </c>
      <c r="J142" s="8" t="s">
        <v>51</v>
      </c>
      <c r="K142" s="8">
        <v>0.41438683410862998</v>
      </c>
      <c r="L142" s="8">
        <v>28.345511250000001</v>
      </c>
      <c r="M142" s="9" t="s">
        <v>53</v>
      </c>
    </row>
    <row r="143" spans="9:13" x14ac:dyDescent="0.2">
      <c r="I143" s="4" t="s">
        <v>16</v>
      </c>
      <c r="J143" s="8" t="s">
        <v>51</v>
      </c>
      <c r="K143" s="8">
        <v>0.45762921619194902</v>
      </c>
      <c r="L143" s="8">
        <v>23.627455619999999</v>
      </c>
      <c r="M143" s="9" t="s">
        <v>53</v>
      </c>
    </row>
    <row r="144" spans="9:13" x14ac:dyDescent="0.2">
      <c r="I144" s="4" t="s">
        <v>17</v>
      </c>
      <c r="J144" s="8" t="s">
        <v>51</v>
      </c>
      <c r="K144" s="8">
        <v>0.10738762649043</v>
      </c>
      <c r="L144" s="8">
        <v>29.154816</v>
      </c>
      <c r="M144" s="9" t="s">
        <v>53</v>
      </c>
    </row>
    <row r="145" spans="9:13" x14ac:dyDescent="0.2">
      <c r="I145" s="4" t="s">
        <v>18</v>
      </c>
      <c r="J145" s="8" t="s">
        <v>51</v>
      </c>
      <c r="K145" s="8">
        <v>0.29971876775405099</v>
      </c>
      <c r="L145" s="8">
        <v>25.237773149999999</v>
      </c>
      <c r="M145" s="9" t="s">
        <v>53</v>
      </c>
    </row>
    <row r="146" spans="9:13" x14ac:dyDescent="0.2">
      <c r="I146" s="4" t="s">
        <v>19</v>
      </c>
      <c r="J146" s="8" t="s">
        <v>51</v>
      </c>
      <c r="K146" s="8">
        <v>0.44980752817033898</v>
      </c>
      <c r="L146" s="8">
        <v>34.38484278</v>
      </c>
      <c r="M146" s="9" t="s">
        <v>53</v>
      </c>
    </row>
    <row r="147" spans="9:13" x14ac:dyDescent="0.2">
      <c r="I147" s="4" t="s">
        <v>20</v>
      </c>
      <c r="J147" s="8" t="s">
        <v>51</v>
      </c>
      <c r="K147" s="8">
        <v>0.59927827878791595</v>
      </c>
      <c r="L147" s="8">
        <v>26.622485210000001</v>
      </c>
      <c r="M147" s="9" t="s">
        <v>53</v>
      </c>
    </row>
    <row r="148" spans="9:13" x14ac:dyDescent="0.2">
      <c r="I148" s="4" t="s">
        <v>21</v>
      </c>
      <c r="J148" s="8" t="s">
        <v>51</v>
      </c>
      <c r="K148" s="8">
        <v>0.44857311541043599</v>
      </c>
      <c r="L148" s="8">
        <v>29.44174649</v>
      </c>
      <c r="M148" s="9" t="s">
        <v>53</v>
      </c>
    </row>
    <row r="149" spans="9:13" x14ac:dyDescent="0.2">
      <c r="I149" s="4" t="s">
        <v>22</v>
      </c>
      <c r="J149" s="8" t="s">
        <v>51</v>
      </c>
      <c r="K149" s="8">
        <v>0.69206009914024802</v>
      </c>
      <c r="L149" s="8">
        <v>27.023374050000001</v>
      </c>
      <c r="M149" s="9" t="s">
        <v>53</v>
      </c>
    </row>
    <row r="150" spans="9:13" x14ac:dyDescent="0.2">
      <c r="I150" s="4" t="s">
        <v>23</v>
      </c>
      <c r="J150" s="8" t="s">
        <v>51</v>
      </c>
      <c r="K150" s="8">
        <v>0.91589470806114603</v>
      </c>
      <c r="L150" s="8">
        <v>37.361390409999998</v>
      </c>
      <c r="M150" s="9" t="s">
        <v>53</v>
      </c>
    </row>
    <row r="151" spans="9:13" x14ac:dyDescent="0.2">
      <c r="I151" s="4" t="s">
        <v>24</v>
      </c>
      <c r="J151" s="8" t="s">
        <v>51</v>
      </c>
      <c r="K151" s="8">
        <v>0.40818168135865601</v>
      </c>
      <c r="L151" s="8">
        <v>30.502066119999999</v>
      </c>
      <c r="M151" s="9" t="s">
        <v>53</v>
      </c>
    </row>
    <row r="152" spans="9:13" x14ac:dyDescent="0.2">
      <c r="I152" s="4" t="s">
        <v>25</v>
      </c>
      <c r="J152" s="8" t="s">
        <v>51</v>
      </c>
      <c r="K152" s="8">
        <v>0.44615198966229003</v>
      </c>
      <c r="L152" s="8">
        <v>30.287981859999999</v>
      </c>
      <c r="M152" s="9" t="s">
        <v>53</v>
      </c>
    </row>
    <row r="153" spans="9:13" x14ac:dyDescent="0.2">
      <c r="I153" s="4" t="s">
        <v>26</v>
      </c>
      <c r="J153" s="8" t="s">
        <v>51</v>
      </c>
      <c r="K153" s="8">
        <v>0.34307703639417197</v>
      </c>
      <c r="L153" s="8">
        <v>33.296386720000001</v>
      </c>
      <c r="M153" s="9" t="s">
        <v>53</v>
      </c>
    </row>
    <row r="154" spans="9:13" x14ac:dyDescent="0.2">
      <c r="I154" s="4" t="s">
        <v>27</v>
      </c>
      <c r="J154" s="8" t="s">
        <v>51</v>
      </c>
      <c r="K154" s="8">
        <v>8.6883355555875799E-2</v>
      </c>
      <c r="L154" s="8">
        <v>22.311654529999998</v>
      </c>
      <c r="M154" s="9" t="s">
        <v>53</v>
      </c>
    </row>
    <row r="155" spans="9:13" x14ac:dyDescent="0.2">
      <c r="I155" s="4" t="s">
        <v>28</v>
      </c>
      <c r="J155" s="8" t="s">
        <v>51</v>
      </c>
      <c r="K155" s="8">
        <v>0.54063280256821</v>
      </c>
      <c r="L155" s="8">
        <v>20.98053633</v>
      </c>
      <c r="M155" s="9" t="s">
        <v>53</v>
      </c>
    </row>
    <row r="156" spans="9:13" x14ac:dyDescent="0.2">
      <c r="I156" s="4" t="s">
        <v>29</v>
      </c>
      <c r="J156" s="8" t="s">
        <v>51</v>
      </c>
      <c r="K156" s="8">
        <v>0.50609122202961498</v>
      </c>
      <c r="L156" s="8">
        <v>28.319091799999999</v>
      </c>
      <c r="M156" s="9" t="s">
        <v>53</v>
      </c>
    </row>
    <row r="157" spans="9:13" x14ac:dyDescent="0.2">
      <c r="I157" s="4" t="s">
        <v>30</v>
      </c>
      <c r="J157" s="8" t="s">
        <v>51</v>
      </c>
      <c r="K157" s="8">
        <v>0.39283972994342098</v>
      </c>
      <c r="L157" s="8">
        <v>26.15218522</v>
      </c>
      <c r="M157" s="9" t="s">
        <v>53</v>
      </c>
    </row>
    <row r="158" spans="9:13" x14ac:dyDescent="0.2">
      <c r="I158" s="4" t="s">
        <v>31</v>
      </c>
      <c r="J158" s="8" t="s">
        <v>51</v>
      </c>
      <c r="K158" s="8">
        <v>0.41975191307274701</v>
      </c>
      <c r="L158" s="8">
        <v>27.95360947</v>
      </c>
      <c r="M158" s="9" t="s">
        <v>53</v>
      </c>
    </row>
    <row r="159" spans="9:13" x14ac:dyDescent="0.2">
      <c r="I159" s="4" t="s">
        <v>32</v>
      </c>
      <c r="J159" s="8" t="s">
        <v>51</v>
      </c>
      <c r="K159" s="8">
        <v>0.89441490186237005</v>
      </c>
      <c r="L159" s="8">
        <v>25.054890740000001</v>
      </c>
      <c r="M159" s="9" t="s">
        <v>0</v>
      </c>
    </row>
    <row r="160" spans="9:13" x14ac:dyDescent="0.2">
      <c r="I160" s="4" t="s">
        <v>33</v>
      </c>
      <c r="J160" s="8" t="s">
        <v>51</v>
      </c>
      <c r="K160" s="8">
        <v>0.283329331980952</v>
      </c>
      <c r="L160" s="8">
        <v>25.33</v>
      </c>
      <c r="M160" s="9" t="s">
        <v>0</v>
      </c>
    </row>
    <row r="161" spans="9:13" x14ac:dyDescent="0.2">
      <c r="I161" s="4" t="s">
        <v>34</v>
      </c>
      <c r="J161" s="8" t="s">
        <v>51</v>
      </c>
      <c r="K161" s="8">
        <v>0.887887801397515</v>
      </c>
      <c r="L161" s="8">
        <v>26.657856939999999</v>
      </c>
      <c r="M161" s="9" t="s">
        <v>0</v>
      </c>
    </row>
    <row r="162" spans="9:13" x14ac:dyDescent="0.2">
      <c r="I162" s="4" t="s">
        <v>35</v>
      </c>
      <c r="J162" s="8" t="s">
        <v>51</v>
      </c>
      <c r="K162" s="8">
        <v>0.47724605405131698</v>
      </c>
      <c r="L162" s="8">
        <v>25.056805520000001</v>
      </c>
      <c r="M162" s="9" t="s">
        <v>0</v>
      </c>
    </row>
    <row r="163" spans="9:13" x14ac:dyDescent="0.2">
      <c r="I163" s="4" t="s">
        <v>36</v>
      </c>
      <c r="J163" s="8" t="s">
        <v>51</v>
      </c>
      <c r="K163" s="8">
        <v>0.93193433848446205</v>
      </c>
      <c r="L163" s="8">
        <v>31.34661118</v>
      </c>
      <c r="M163" s="9" t="s">
        <v>0</v>
      </c>
    </row>
    <row r="164" spans="9:13" x14ac:dyDescent="0.2">
      <c r="I164" s="4" t="s">
        <v>37</v>
      </c>
      <c r="J164" s="8" t="s">
        <v>51</v>
      </c>
      <c r="K164" s="8">
        <v>0.58667752878208101</v>
      </c>
      <c r="L164" s="8">
        <v>26.568405139999999</v>
      </c>
      <c r="M164" s="9" t="s">
        <v>0</v>
      </c>
    </row>
    <row r="165" spans="9:13" x14ac:dyDescent="0.2">
      <c r="I165" s="4" t="s">
        <v>38</v>
      </c>
      <c r="J165" s="8" t="s">
        <v>51</v>
      </c>
      <c r="K165" s="8">
        <v>0.82050084427014502</v>
      </c>
      <c r="L165" s="8">
        <v>29.177246090000001</v>
      </c>
      <c r="M165" s="9" t="s">
        <v>0</v>
      </c>
    </row>
    <row r="166" spans="9:13" x14ac:dyDescent="0.2">
      <c r="I166" s="4" t="s">
        <v>39</v>
      </c>
      <c r="J166" s="8" t="s">
        <v>51</v>
      </c>
      <c r="K166" s="8">
        <v>0.682053238536797</v>
      </c>
      <c r="L166" s="8">
        <v>31.82154006</v>
      </c>
      <c r="M166" s="9" t="s">
        <v>0</v>
      </c>
    </row>
    <row r="167" spans="9:13" x14ac:dyDescent="0.2">
      <c r="I167" s="4" t="s">
        <v>40</v>
      </c>
      <c r="J167" s="8" t="s">
        <v>51</v>
      </c>
      <c r="K167" s="8">
        <v>0.36492712481380402</v>
      </c>
      <c r="L167" s="8">
        <v>25.386111110000002</v>
      </c>
      <c r="M167" s="9" t="s">
        <v>0</v>
      </c>
    </row>
    <row r="168" spans="9:13" x14ac:dyDescent="0.2">
      <c r="I168" s="4" t="s">
        <v>41</v>
      </c>
      <c r="J168" s="8" t="s">
        <v>51</v>
      </c>
      <c r="K168" s="8">
        <v>0.59147894920944599</v>
      </c>
      <c r="L168" s="8">
        <v>27.259183669999999</v>
      </c>
      <c r="M168" s="9" t="s">
        <v>0</v>
      </c>
    </row>
    <row r="169" spans="9:13" x14ac:dyDescent="0.2">
      <c r="I169" s="4" t="s">
        <v>42</v>
      </c>
      <c r="J169" s="8" t="s">
        <v>51</v>
      </c>
      <c r="K169" s="8">
        <v>0.33433171166258102</v>
      </c>
      <c r="L169" s="8">
        <v>26.568405139999999</v>
      </c>
      <c r="M169" s="9" t="s">
        <v>0</v>
      </c>
    </row>
    <row r="170" spans="9:13" x14ac:dyDescent="0.2">
      <c r="I170" s="4" t="s">
        <v>43</v>
      </c>
      <c r="J170" s="8" t="s">
        <v>51</v>
      </c>
      <c r="K170" s="8">
        <v>0.66644475536185199</v>
      </c>
      <c r="L170" s="8">
        <v>33.653313179999998</v>
      </c>
      <c r="M170" s="9" t="s">
        <v>0</v>
      </c>
    </row>
    <row r="171" spans="9:13" x14ac:dyDescent="0.2">
      <c r="I171" s="4" t="s">
        <v>44</v>
      </c>
      <c r="J171" s="8" t="s">
        <v>51</v>
      </c>
      <c r="K171" s="8">
        <v>0.32074852630685202</v>
      </c>
      <c r="L171" s="8">
        <v>27.95360947</v>
      </c>
      <c r="M171" s="9" t="s">
        <v>0</v>
      </c>
    </row>
    <row r="172" spans="9:13" x14ac:dyDescent="0.2">
      <c r="I172" s="4" t="s">
        <v>45</v>
      </c>
      <c r="J172" s="8" t="s">
        <v>51</v>
      </c>
      <c r="K172" s="8">
        <v>0.47423092556361301</v>
      </c>
      <c r="L172" s="8">
        <v>21.43184681</v>
      </c>
      <c r="M172" s="9" t="s">
        <v>0</v>
      </c>
    </row>
    <row r="173" spans="9:13" x14ac:dyDescent="0.2">
      <c r="I173" s="4" t="s">
        <v>46</v>
      </c>
      <c r="J173" s="8" t="s">
        <v>51</v>
      </c>
      <c r="K173" s="8">
        <v>0.558710752702406</v>
      </c>
      <c r="L173" s="8">
        <v>29.40236835</v>
      </c>
      <c r="M173" s="9" t="s">
        <v>0</v>
      </c>
    </row>
    <row r="174" spans="9:13" x14ac:dyDescent="0.2">
      <c r="I174" s="4" t="s">
        <v>47</v>
      </c>
      <c r="J174" s="8" t="s">
        <v>51</v>
      </c>
      <c r="K174" s="8">
        <v>0.39672825179167298</v>
      </c>
      <c r="L174" s="8">
        <v>22.104541789999999</v>
      </c>
      <c r="M174" s="9" t="s">
        <v>0</v>
      </c>
    </row>
    <row r="175" spans="9:13" x14ac:dyDescent="0.2">
      <c r="I175" s="4" t="s">
        <v>5</v>
      </c>
      <c r="J175" s="8" t="s">
        <v>52</v>
      </c>
      <c r="K175" s="8">
        <v>1.44460968688807E-2</v>
      </c>
      <c r="L175" s="8">
        <v>29.177246090000001</v>
      </c>
      <c r="M175" s="9" t="s">
        <v>53</v>
      </c>
    </row>
    <row r="176" spans="9:13" x14ac:dyDescent="0.2">
      <c r="I176" s="4" t="s">
        <v>6</v>
      </c>
      <c r="J176" s="8" t="s">
        <v>52</v>
      </c>
      <c r="K176" s="8">
        <v>0</v>
      </c>
      <c r="L176" s="8">
        <v>36.019157939999999</v>
      </c>
      <c r="M176" s="9" t="s">
        <v>53</v>
      </c>
    </row>
    <row r="177" spans="9:13" x14ac:dyDescent="0.2">
      <c r="I177" s="4" t="s">
        <v>7</v>
      </c>
      <c r="J177" s="8" t="s">
        <v>52</v>
      </c>
      <c r="K177" s="8">
        <v>2.6090198895363199E-2</v>
      </c>
      <c r="L177" s="8">
        <v>37.585208289999997</v>
      </c>
      <c r="M177" s="9" t="s">
        <v>53</v>
      </c>
    </row>
    <row r="178" spans="9:13" x14ac:dyDescent="0.2">
      <c r="I178" s="4" t="s">
        <v>8</v>
      </c>
      <c r="J178" s="8" t="s">
        <v>52</v>
      </c>
      <c r="K178" s="8">
        <v>0</v>
      </c>
      <c r="L178" s="8">
        <v>27.856185539999998</v>
      </c>
      <c r="M178" s="9" t="s">
        <v>53</v>
      </c>
    </row>
    <row r="179" spans="9:13" x14ac:dyDescent="0.2">
      <c r="I179" s="4" t="s">
        <v>9</v>
      </c>
      <c r="J179" s="8" t="s">
        <v>52</v>
      </c>
      <c r="K179" s="8">
        <v>0</v>
      </c>
      <c r="L179" s="8">
        <v>27.4609375</v>
      </c>
      <c r="M179" s="9" t="s">
        <v>53</v>
      </c>
    </row>
    <row r="180" spans="9:13" x14ac:dyDescent="0.2">
      <c r="I180" s="4" t="s">
        <v>10</v>
      </c>
      <c r="J180" s="8" t="s">
        <v>52</v>
      </c>
      <c r="K180" s="8">
        <v>9.1698423134894506E-3</v>
      </c>
      <c r="L180" s="8">
        <v>29.45112426</v>
      </c>
      <c r="M180" s="9" t="s">
        <v>53</v>
      </c>
    </row>
    <row r="181" spans="9:13" x14ac:dyDescent="0.2">
      <c r="I181" s="4" t="s">
        <v>11</v>
      </c>
      <c r="J181" s="8" t="s">
        <v>52</v>
      </c>
      <c r="K181" s="8">
        <v>6.9289969453203398E-2</v>
      </c>
      <c r="L181" s="8">
        <v>33.120367709999996</v>
      </c>
      <c r="M181" s="9" t="s">
        <v>53</v>
      </c>
    </row>
    <row r="182" spans="9:13" x14ac:dyDescent="0.2">
      <c r="I182" s="4" t="s">
        <v>12</v>
      </c>
      <c r="J182" s="8" t="s">
        <v>52</v>
      </c>
      <c r="K182" s="8">
        <v>0</v>
      </c>
      <c r="L182" s="8">
        <v>34.538926680000003</v>
      </c>
      <c r="M182" s="9" t="s">
        <v>53</v>
      </c>
    </row>
    <row r="183" spans="9:13" x14ac:dyDescent="0.2">
      <c r="I183" s="4" t="s">
        <v>13</v>
      </c>
      <c r="J183" s="8" t="s">
        <v>52</v>
      </c>
      <c r="K183" s="8">
        <v>0</v>
      </c>
      <c r="L183" s="8">
        <v>34.381893859999998</v>
      </c>
      <c r="M183" s="9" t="s">
        <v>53</v>
      </c>
    </row>
    <row r="184" spans="9:13" x14ac:dyDescent="0.2">
      <c r="I184" s="4" t="s">
        <v>14</v>
      </c>
      <c r="J184" s="8" t="s">
        <v>52</v>
      </c>
      <c r="K184" s="8">
        <v>0</v>
      </c>
      <c r="L184" s="8">
        <v>41.984722220000002</v>
      </c>
      <c r="M184" s="9" t="s">
        <v>53</v>
      </c>
    </row>
    <row r="185" spans="9:13" x14ac:dyDescent="0.2">
      <c r="I185" s="4" t="s">
        <v>15</v>
      </c>
      <c r="J185" s="8" t="s">
        <v>52</v>
      </c>
      <c r="K185" s="8">
        <v>0</v>
      </c>
      <c r="L185" s="8">
        <v>28.345511250000001</v>
      </c>
      <c r="M185" s="9" t="s">
        <v>53</v>
      </c>
    </row>
    <row r="186" spans="9:13" x14ac:dyDescent="0.2">
      <c r="I186" s="4" t="s">
        <v>16</v>
      </c>
      <c r="J186" s="8" t="s">
        <v>52</v>
      </c>
      <c r="K186" s="8">
        <v>0</v>
      </c>
      <c r="L186" s="8">
        <v>23.627455619999999</v>
      </c>
      <c r="M186" s="9" t="s">
        <v>53</v>
      </c>
    </row>
    <row r="187" spans="9:13" x14ac:dyDescent="0.2">
      <c r="I187" s="4" t="s">
        <v>17</v>
      </c>
      <c r="J187" s="8" t="s">
        <v>52</v>
      </c>
      <c r="K187" s="8">
        <v>0</v>
      </c>
      <c r="L187" s="8">
        <v>29.154816</v>
      </c>
      <c r="M187" s="9" t="s">
        <v>53</v>
      </c>
    </row>
    <row r="188" spans="9:13" x14ac:dyDescent="0.2">
      <c r="I188" s="4" t="s">
        <v>18</v>
      </c>
      <c r="J188" s="8" t="s">
        <v>52</v>
      </c>
      <c r="K188" s="8">
        <v>4.4673613231423402E-2</v>
      </c>
      <c r="L188" s="8">
        <v>25.237773149999999</v>
      </c>
      <c r="M188" s="9" t="s">
        <v>53</v>
      </c>
    </row>
    <row r="189" spans="9:13" x14ac:dyDescent="0.2">
      <c r="I189" s="4" t="s">
        <v>19</v>
      </c>
      <c r="J189" s="8" t="s">
        <v>52</v>
      </c>
      <c r="K189" s="8">
        <v>3.0054841179371999E-2</v>
      </c>
      <c r="L189" s="8">
        <v>34.38484278</v>
      </c>
      <c r="M189" s="9" t="s">
        <v>53</v>
      </c>
    </row>
    <row r="190" spans="9:13" x14ac:dyDescent="0.2">
      <c r="I190" s="4" t="s">
        <v>20</v>
      </c>
      <c r="J190" s="8" t="s">
        <v>52</v>
      </c>
      <c r="K190" s="8">
        <v>0.136681881388346</v>
      </c>
      <c r="L190" s="8">
        <v>26.622485210000001</v>
      </c>
      <c r="M190" s="9" t="s">
        <v>53</v>
      </c>
    </row>
    <row r="191" spans="9:13" x14ac:dyDescent="0.2">
      <c r="I191" s="4" t="s">
        <v>21</v>
      </c>
      <c r="J191" s="8" t="s">
        <v>52</v>
      </c>
      <c r="K191" s="8">
        <v>6.0588600438197901E-2</v>
      </c>
      <c r="L191" s="8">
        <v>29.44174649</v>
      </c>
      <c r="M191" s="9" t="s">
        <v>53</v>
      </c>
    </row>
    <row r="192" spans="9:13" x14ac:dyDescent="0.2">
      <c r="I192" s="4" t="s">
        <v>22</v>
      </c>
      <c r="J192" s="8" t="s">
        <v>52</v>
      </c>
      <c r="K192" s="8">
        <v>0</v>
      </c>
      <c r="L192" s="8">
        <v>27.023374050000001</v>
      </c>
      <c r="M192" s="9" t="s">
        <v>53</v>
      </c>
    </row>
    <row r="193" spans="9:13" x14ac:dyDescent="0.2">
      <c r="I193" s="4" t="s">
        <v>23</v>
      </c>
      <c r="J193" s="8" t="s">
        <v>52</v>
      </c>
      <c r="K193" s="8">
        <v>8.1633563934958603E-2</v>
      </c>
      <c r="L193" s="8">
        <v>37.361390409999998</v>
      </c>
      <c r="M193" s="9" t="s">
        <v>53</v>
      </c>
    </row>
    <row r="194" spans="9:13" x14ac:dyDescent="0.2">
      <c r="I194" s="4" t="s">
        <v>24</v>
      </c>
      <c r="J194" s="8" t="s">
        <v>52</v>
      </c>
      <c r="K194" s="8">
        <v>0</v>
      </c>
      <c r="L194" s="8">
        <v>30.502066119999999</v>
      </c>
      <c r="M194" s="9" t="s">
        <v>53</v>
      </c>
    </row>
    <row r="195" spans="9:13" x14ac:dyDescent="0.2">
      <c r="I195" s="4" t="s">
        <v>25</v>
      </c>
      <c r="J195" s="8" t="s">
        <v>52</v>
      </c>
      <c r="K195" s="8">
        <v>0</v>
      </c>
      <c r="L195" s="8">
        <v>30.287981859999999</v>
      </c>
      <c r="M195" s="9" t="s">
        <v>53</v>
      </c>
    </row>
    <row r="196" spans="9:13" x14ac:dyDescent="0.2">
      <c r="I196" s="4" t="s">
        <v>26</v>
      </c>
      <c r="J196" s="8" t="s">
        <v>52</v>
      </c>
      <c r="K196" s="8">
        <v>0</v>
      </c>
      <c r="L196" s="8">
        <v>33.296386720000001</v>
      </c>
      <c r="M196" s="9" t="s">
        <v>53</v>
      </c>
    </row>
    <row r="197" spans="9:13" x14ac:dyDescent="0.2">
      <c r="I197" s="4" t="s">
        <v>27</v>
      </c>
      <c r="J197" s="8" t="s">
        <v>52</v>
      </c>
      <c r="K197" s="8">
        <v>0</v>
      </c>
      <c r="L197" s="8">
        <v>22.311654529999998</v>
      </c>
      <c r="M197" s="9" t="s">
        <v>53</v>
      </c>
    </row>
    <row r="198" spans="9:13" x14ac:dyDescent="0.2">
      <c r="I198" s="4" t="s">
        <v>28</v>
      </c>
      <c r="J198" s="8" t="s">
        <v>52</v>
      </c>
      <c r="K198" s="8">
        <v>1.22084244783609E-3</v>
      </c>
      <c r="L198" s="8">
        <v>20.98053633</v>
      </c>
      <c r="M198" s="9" t="s">
        <v>53</v>
      </c>
    </row>
    <row r="199" spans="9:13" x14ac:dyDescent="0.2">
      <c r="I199" s="4" t="s">
        <v>29</v>
      </c>
      <c r="J199" s="8" t="s">
        <v>52</v>
      </c>
      <c r="K199" s="8">
        <v>6.6703993608535602E-3</v>
      </c>
      <c r="L199" s="8">
        <v>28.319091799999999</v>
      </c>
      <c r="M199" s="9" t="s">
        <v>53</v>
      </c>
    </row>
    <row r="200" spans="9:13" x14ac:dyDescent="0.2">
      <c r="I200" s="4" t="s">
        <v>30</v>
      </c>
      <c r="J200" s="8" t="s">
        <v>52</v>
      </c>
      <c r="K200" s="8">
        <v>0</v>
      </c>
      <c r="L200" s="8">
        <v>26.15218522</v>
      </c>
      <c r="M200" s="9" t="s">
        <v>53</v>
      </c>
    </row>
    <row r="201" spans="9:13" x14ac:dyDescent="0.2">
      <c r="I201" s="4" t="s">
        <v>31</v>
      </c>
      <c r="J201" s="8" t="s">
        <v>52</v>
      </c>
      <c r="K201" s="8">
        <v>1.6924635050431298E-2</v>
      </c>
      <c r="L201" s="8">
        <v>27.95360947</v>
      </c>
      <c r="M201" s="9" t="s">
        <v>53</v>
      </c>
    </row>
    <row r="202" spans="9:13" x14ac:dyDescent="0.2">
      <c r="I202" s="4" t="s">
        <v>32</v>
      </c>
      <c r="J202" s="8" t="s">
        <v>52</v>
      </c>
      <c r="K202" s="8">
        <v>0.101097415210315</v>
      </c>
      <c r="L202" s="8">
        <v>25.054890740000001</v>
      </c>
      <c r="M202" s="9" t="s">
        <v>0</v>
      </c>
    </row>
    <row r="203" spans="9:13" x14ac:dyDescent="0.2">
      <c r="I203" s="4" t="s">
        <v>33</v>
      </c>
      <c r="J203" s="8" t="s">
        <v>52</v>
      </c>
      <c r="K203" s="8">
        <v>0</v>
      </c>
      <c r="L203" s="8">
        <v>25.33</v>
      </c>
      <c r="M203" s="9" t="s">
        <v>0</v>
      </c>
    </row>
    <row r="204" spans="9:13" x14ac:dyDescent="0.2">
      <c r="I204" s="4" t="s">
        <v>34</v>
      </c>
      <c r="J204" s="8" t="s">
        <v>52</v>
      </c>
      <c r="K204" s="8">
        <v>6.3410395692836602E-2</v>
      </c>
      <c r="L204" s="8">
        <v>26.657856939999999</v>
      </c>
      <c r="M204" s="9" t="s">
        <v>0</v>
      </c>
    </row>
    <row r="205" spans="9:13" x14ac:dyDescent="0.2">
      <c r="I205" s="4" t="s">
        <v>35</v>
      </c>
      <c r="J205" s="8" t="s">
        <v>52</v>
      </c>
      <c r="K205" s="8">
        <v>3.02674111971135E-2</v>
      </c>
      <c r="L205" s="8">
        <v>25.056805520000001</v>
      </c>
      <c r="M205" s="9" t="s">
        <v>0</v>
      </c>
    </row>
    <row r="206" spans="9:13" x14ac:dyDescent="0.2">
      <c r="I206" s="4" t="s">
        <v>36</v>
      </c>
      <c r="J206" s="8" t="s">
        <v>52</v>
      </c>
      <c r="K206" s="8">
        <v>6.38075701010304E-2</v>
      </c>
      <c r="L206" s="8">
        <v>31.34661118</v>
      </c>
      <c r="M206" s="9" t="s">
        <v>0</v>
      </c>
    </row>
    <row r="207" spans="9:13" x14ac:dyDescent="0.2">
      <c r="I207" s="4" t="s">
        <v>37</v>
      </c>
      <c r="J207" s="8" t="s">
        <v>52</v>
      </c>
      <c r="K207" s="8">
        <v>0</v>
      </c>
      <c r="L207" s="8">
        <v>26.568405139999999</v>
      </c>
      <c r="M207" s="9" t="s">
        <v>0</v>
      </c>
    </row>
    <row r="208" spans="9:13" x14ac:dyDescent="0.2">
      <c r="I208" s="4" t="s">
        <v>38</v>
      </c>
      <c r="J208" s="8" t="s">
        <v>52</v>
      </c>
      <c r="K208" s="8">
        <v>0</v>
      </c>
      <c r="L208" s="8">
        <v>29.177246090000001</v>
      </c>
      <c r="M208" s="9" t="s">
        <v>0</v>
      </c>
    </row>
    <row r="209" spans="9:13" x14ac:dyDescent="0.2">
      <c r="I209" s="4" t="s">
        <v>39</v>
      </c>
      <c r="J209" s="8" t="s">
        <v>52</v>
      </c>
      <c r="K209" s="8">
        <v>2.84933428815199E-2</v>
      </c>
      <c r="L209" s="8">
        <v>31.82154006</v>
      </c>
      <c r="M209" s="9" t="s">
        <v>0</v>
      </c>
    </row>
    <row r="210" spans="9:13" x14ac:dyDescent="0.2">
      <c r="I210" s="4" t="s">
        <v>40</v>
      </c>
      <c r="J210" s="8" t="s">
        <v>52</v>
      </c>
      <c r="K210" s="8">
        <v>0</v>
      </c>
      <c r="L210" s="8">
        <v>25.386111110000002</v>
      </c>
      <c r="M210" s="9" t="s">
        <v>0</v>
      </c>
    </row>
    <row r="211" spans="9:13" x14ac:dyDescent="0.2">
      <c r="I211" s="4" t="s">
        <v>41</v>
      </c>
      <c r="J211" s="8" t="s">
        <v>52</v>
      </c>
      <c r="K211" s="8">
        <v>2.2175134952575701E-2</v>
      </c>
      <c r="L211" s="8">
        <v>27.259183669999999</v>
      </c>
      <c r="M211" s="9" t="s">
        <v>0</v>
      </c>
    </row>
    <row r="212" spans="9:13" x14ac:dyDescent="0.2">
      <c r="I212" s="4" t="s">
        <v>42</v>
      </c>
      <c r="J212" s="8" t="s">
        <v>52</v>
      </c>
      <c r="K212" s="8">
        <v>0</v>
      </c>
      <c r="L212" s="8">
        <v>26.568405139999999</v>
      </c>
      <c r="M212" s="9" t="s">
        <v>0</v>
      </c>
    </row>
    <row r="213" spans="9:13" x14ac:dyDescent="0.2">
      <c r="I213" s="4" t="s">
        <v>43</v>
      </c>
      <c r="J213" s="8" t="s">
        <v>52</v>
      </c>
      <c r="K213" s="8">
        <v>4.9680526272256102E-2</v>
      </c>
      <c r="L213" s="8">
        <v>33.653313179999998</v>
      </c>
      <c r="M213" s="9" t="s">
        <v>0</v>
      </c>
    </row>
    <row r="214" spans="9:13" x14ac:dyDescent="0.2">
      <c r="I214" s="4" t="s">
        <v>44</v>
      </c>
      <c r="J214" s="8" t="s">
        <v>52</v>
      </c>
      <c r="K214" s="8">
        <v>2.9381136135333299E-2</v>
      </c>
      <c r="L214" s="8">
        <v>27.95360947</v>
      </c>
      <c r="M214" s="9" t="s">
        <v>0</v>
      </c>
    </row>
    <row r="215" spans="9:13" x14ac:dyDescent="0.2">
      <c r="I215" s="4" t="s">
        <v>45</v>
      </c>
      <c r="J215" s="8" t="s">
        <v>52</v>
      </c>
      <c r="K215" s="8">
        <v>0.127459674852517</v>
      </c>
      <c r="L215" s="8">
        <v>21.43184681</v>
      </c>
      <c r="M215" s="9" t="s">
        <v>0</v>
      </c>
    </row>
    <row r="216" spans="9:13" x14ac:dyDescent="0.2">
      <c r="I216" s="4" t="s">
        <v>46</v>
      </c>
      <c r="J216" s="8" t="s">
        <v>52</v>
      </c>
      <c r="K216" s="8">
        <v>3.2785497575140501E-2</v>
      </c>
      <c r="L216" s="8">
        <v>29.40236835</v>
      </c>
      <c r="M216" s="9" t="s">
        <v>0</v>
      </c>
    </row>
    <row r="217" spans="9:13" x14ac:dyDescent="0.2">
      <c r="I217" s="5" t="s">
        <v>47</v>
      </c>
      <c r="J217" s="11" t="s">
        <v>52</v>
      </c>
      <c r="K217" s="11">
        <v>0.12170060532613799</v>
      </c>
      <c r="L217" s="11">
        <v>22.104541789999999</v>
      </c>
      <c r="M217" s="12" t="s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2021-12-15T16:44:54Z</dcterms:created>
  <dcterms:modified xsi:type="dcterms:W3CDTF">2022-01-24T20:56:58Z</dcterms:modified>
</cp:coreProperties>
</file>